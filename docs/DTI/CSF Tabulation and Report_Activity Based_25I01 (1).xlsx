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tiph-my.sharepoint.com/personal/josephinepalima_dti_gov_ph/Documents/Desktop/CSF_25I01/"/>
    </mc:Choice>
  </mc:AlternateContent>
  <xr:revisionPtr revIDLastSave="0" documentId="8_{EC7260D5-BC22-48D3-BD57-E8FE84A53BF0}" xr6:coauthVersionLast="47" xr6:coauthVersionMax="47" xr10:uidLastSave="{00000000-0000-0000-0000-000000000000}"/>
  <bookViews>
    <workbookView xWindow="0" yWindow="0" windowWidth="23040" windowHeight="6924" firstSheet="3" activeTab="3" xr2:uid="{00000000-000D-0000-FFFF-FFFF00000000}"/>
  </bookViews>
  <sheets>
    <sheet name="DropList" sheetId="4" state="hidden" r:id="rId1"/>
    <sheet name="Tabulation Sheet" sheetId="1" r:id="rId2"/>
    <sheet name="Supplemental" sheetId="8" r:id="rId3"/>
    <sheet name="Report" sheetId="2" r:id="rId4"/>
    <sheet name="Graphs" sheetId="6" r:id="rId5"/>
  </sheets>
  <definedNames>
    <definedName name="_xlnm.Print_Area" localSheetId="4">Graphs!$A$1:$M$109</definedName>
    <definedName name="_xlnm.Print_Area" localSheetId="3">Report!$A$1:$K$116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8" l="1"/>
  <c r="C10" i="8"/>
  <c r="D10" i="8"/>
  <c r="E10" i="8"/>
  <c r="F10" i="8"/>
  <c r="B11" i="8"/>
  <c r="C11" i="8"/>
  <c r="D11" i="8"/>
  <c r="E11" i="8"/>
  <c r="F11" i="8"/>
  <c r="B12" i="8"/>
  <c r="C12" i="8"/>
  <c r="D12" i="8"/>
  <c r="E12" i="8"/>
  <c r="F12" i="8"/>
  <c r="B13" i="8"/>
  <c r="C13" i="8"/>
  <c r="D13" i="8"/>
  <c r="E13" i="8"/>
  <c r="F13" i="8"/>
  <c r="B14" i="8"/>
  <c r="C14" i="8"/>
  <c r="D14" i="8"/>
  <c r="E14" i="8"/>
  <c r="F14" i="8"/>
  <c r="B15" i="8"/>
  <c r="C15" i="8"/>
  <c r="D15" i="8"/>
  <c r="E15" i="8"/>
  <c r="F15" i="8"/>
  <c r="B16" i="8"/>
  <c r="C16" i="8"/>
  <c r="D16" i="8"/>
  <c r="E16" i="8"/>
  <c r="F16" i="8"/>
  <c r="B17" i="8"/>
  <c r="C17" i="8"/>
  <c r="D17" i="8"/>
  <c r="E17" i="8"/>
  <c r="F17" i="8"/>
  <c r="B18" i="8"/>
  <c r="C18" i="8"/>
  <c r="D18" i="8"/>
  <c r="E18" i="8"/>
  <c r="F18" i="8"/>
  <c r="B19" i="8"/>
  <c r="C19" i="8"/>
  <c r="D19" i="8"/>
  <c r="E19" i="8"/>
  <c r="F19" i="8"/>
  <c r="B20" i="8"/>
  <c r="C20" i="8"/>
  <c r="D20" i="8"/>
  <c r="E20" i="8"/>
  <c r="F20" i="8"/>
  <c r="B21" i="8"/>
  <c r="C21" i="8"/>
  <c r="D21" i="8"/>
  <c r="E21" i="8"/>
  <c r="F21" i="8"/>
  <c r="B22" i="8"/>
  <c r="C22" i="8"/>
  <c r="D22" i="8"/>
  <c r="E22" i="8"/>
  <c r="F22" i="8"/>
  <c r="B23" i="8"/>
  <c r="C23" i="8"/>
  <c r="D23" i="8"/>
  <c r="E23" i="8"/>
  <c r="F23" i="8"/>
  <c r="B24" i="8"/>
  <c r="C24" i="8"/>
  <c r="D24" i="8"/>
  <c r="E24" i="8"/>
  <c r="F24" i="8"/>
  <c r="B25" i="8"/>
  <c r="C25" i="8"/>
  <c r="D25" i="8"/>
  <c r="E25" i="8"/>
  <c r="F25" i="8"/>
  <c r="B26" i="8"/>
  <c r="C26" i="8"/>
  <c r="D26" i="8"/>
  <c r="E26" i="8"/>
  <c r="F26" i="8"/>
  <c r="B27" i="8"/>
  <c r="C27" i="8"/>
  <c r="D27" i="8"/>
  <c r="E27" i="8"/>
  <c r="F27" i="8"/>
  <c r="B28" i="8"/>
  <c r="C28" i="8"/>
  <c r="D28" i="8"/>
  <c r="E28" i="8"/>
  <c r="F28" i="8"/>
  <c r="B29" i="8"/>
  <c r="C29" i="8"/>
  <c r="D29" i="8"/>
  <c r="E29" i="8"/>
  <c r="F29" i="8"/>
  <c r="B30" i="8"/>
  <c r="C30" i="8"/>
  <c r="D30" i="8"/>
  <c r="E30" i="8"/>
  <c r="F30" i="8"/>
  <c r="B31" i="8"/>
  <c r="C31" i="8"/>
  <c r="D31" i="8"/>
  <c r="E31" i="8"/>
  <c r="F31" i="8"/>
  <c r="B32" i="8"/>
  <c r="C32" i="8"/>
  <c r="D32" i="8"/>
  <c r="E32" i="8"/>
  <c r="F32" i="8"/>
  <c r="B33" i="8"/>
  <c r="C33" i="8"/>
  <c r="D33" i="8"/>
  <c r="E33" i="8"/>
  <c r="F33" i="8"/>
  <c r="B34" i="8"/>
  <c r="C34" i="8"/>
  <c r="D34" i="8"/>
  <c r="E34" i="8"/>
  <c r="F34" i="8"/>
  <c r="B35" i="8"/>
  <c r="C35" i="8"/>
  <c r="D35" i="8"/>
  <c r="E35" i="8"/>
  <c r="F35" i="8"/>
  <c r="B36" i="8"/>
  <c r="C36" i="8"/>
  <c r="D36" i="8"/>
  <c r="E36" i="8"/>
  <c r="F36" i="8"/>
  <c r="B37" i="8"/>
  <c r="C37" i="8"/>
  <c r="D37" i="8"/>
  <c r="E37" i="8"/>
  <c r="F37" i="8"/>
  <c r="B38" i="8"/>
  <c r="C38" i="8"/>
  <c r="D38" i="8"/>
  <c r="E38" i="8"/>
  <c r="F38" i="8"/>
  <c r="B39" i="8"/>
  <c r="C39" i="8"/>
  <c r="D39" i="8"/>
  <c r="E39" i="8"/>
  <c r="F39" i="8"/>
  <c r="B40" i="8"/>
  <c r="C40" i="8"/>
  <c r="D40" i="8"/>
  <c r="E40" i="8"/>
  <c r="F40" i="8"/>
  <c r="B41" i="8"/>
  <c r="C41" i="8"/>
  <c r="D41" i="8"/>
  <c r="E41" i="8"/>
  <c r="F41" i="8"/>
  <c r="B42" i="8"/>
  <c r="C42" i="8"/>
  <c r="D42" i="8"/>
  <c r="E42" i="8"/>
  <c r="F42" i="8"/>
  <c r="B43" i="8"/>
  <c r="C43" i="8"/>
  <c r="D43" i="8"/>
  <c r="E43" i="8"/>
  <c r="F43" i="8"/>
  <c r="B44" i="8"/>
  <c r="C44" i="8"/>
  <c r="D44" i="8"/>
  <c r="E44" i="8"/>
  <c r="F44" i="8"/>
  <c r="B45" i="8"/>
  <c r="C45" i="8"/>
  <c r="D45" i="8"/>
  <c r="E45" i="8"/>
  <c r="F45" i="8"/>
  <c r="B46" i="8"/>
  <c r="C46" i="8"/>
  <c r="D46" i="8"/>
  <c r="E46" i="8"/>
  <c r="F46" i="8"/>
  <c r="B47" i="8"/>
  <c r="C47" i="8"/>
  <c r="D47" i="8"/>
  <c r="E47" i="8"/>
  <c r="F47" i="8"/>
  <c r="B48" i="8"/>
  <c r="C48" i="8"/>
  <c r="D48" i="8"/>
  <c r="E48" i="8"/>
  <c r="F48" i="8"/>
  <c r="B49" i="8"/>
  <c r="C49" i="8"/>
  <c r="D49" i="8"/>
  <c r="E49" i="8"/>
  <c r="F49" i="8"/>
  <c r="B50" i="8"/>
  <c r="C50" i="8"/>
  <c r="D50" i="8"/>
  <c r="E50" i="8"/>
  <c r="F50" i="8"/>
  <c r="B51" i="8"/>
  <c r="C51" i="8"/>
  <c r="D51" i="8"/>
  <c r="E51" i="8"/>
  <c r="F51" i="8"/>
  <c r="B52" i="8"/>
  <c r="C52" i="8"/>
  <c r="D52" i="8"/>
  <c r="E52" i="8"/>
  <c r="F52" i="8"/>
  <c r="B53" i="8"/>
  <c r="C53" i="8"/>
  <c r="D53" i="8"/>
  <c r="E53" i="8"/>
  <c r="F53" i="8"/>
  <c r="B54" i="8"/>
  <c r="C54" i="8"/>
  <c r="D54" i="8"/>
  <c r="E54" i="8"/>
  <c r="F54" i="8"/>
  <c r="B55" i="8"/>
  <c r="C55" i="8"/>
  <c r="D55" i="8"/>
  <c r="E55" i="8"/>
  <c r="F55" i="8"/>
  <c r="B56" i="8"/>
  <c r="C56" i="8"/>
  <c r="D56" i="8"/>
  <c r="E56" i="8"/>
  <c r="F56" i="8"/>
  <c r="B57" i="8"/>
  <c r="C57" i="8"/>
  <c r="D57" i="8"/>
  <c r="E57" i="8"/>
  <c r="F57" i="8"/>
  <c r="B58" i="8"/>
  <c r="C58" i="8"/>
  <c r="D58" i="8"/>
  <c r="E58" i="8"/>
  <c r="F58" i="8"/>
  <c r="B59" i="8"/>
  <c r="C59" i="8"/>
  <c r="D59" i="8"/>
  <c r="E59" i="8"/>
  <c r="F59" i="8"/>
  <c r="B60" i="8"/>
  <c r="C60" i="8"/>
  <c r="D60" i="8"/>
  <c r="E60" i="8"/>
  <c r="F60" i="8"/>
  <c r="B61" i="8"/>
  <c r="C61" i="8"/>
  <c r="D61" i="8"/>
  <c r="E61" i="8"/>
  <c r="F61" i="8"/>
  <c r="B62" i="8"/>
  <c r="C62" i="8"/>
  <c r="D62" i="8"/>
  <c r="E62" i="8"/>
  <c r="F62" i="8"/>
  <c r="B63" i="8"/>
  <c r="C63" i="8"/>
  <c r="D63" i="8"/>
  <c r="E63" i="8"/>
  <c r="F63" i="8"/>
  <c r="B64" i="8"/>
  <c r="C64" i="8"/>
  <c r="D64" i="8"/>
  <c r="E64" i="8"/>
  <c r="F64" i="8"/>
  <c r="B65" i="8"/>
  <c r="C65" i="8"/>
  <c r="D65" i="8"/>
  <c r="E65" i="8"/>
  <c r="F65" i="8"/>
  <c r="B66" i="8"/>
  <c r="C66" i="8"/>
  <c r="D66" i="8"/>
  <c r="E66" i="8"/>
  <c r="F66" i="8"/>
  <c r="B67" i="8"/>
  <c r="C67" i="8"/>
  <c r="D67" i="8"/>
  <c r="E67" i="8"/>
  <c r="F67" i="8"/>
  <c r="B68" i="8"/>
  <c r="C68" i="8"/>
  <c r="D68" i="8"/>
  <c r="E68" i="8"/>
  <c r="F68" i="8"/>
  <c r="B69" i="8"/>
  <c r="C69" i="8"/>
  <c r="D69" i="8"/>
  <c r="E69" i="8"/>
  <c r="F69" i="8"/>
  <c r="B70" i="8"/>
  <c r="C70" i="8"/>
  <c r="D70" i="8"/>
  <c r="E70" i="8"/>
  <c r="F70" i="8"/>
  <c r="B71" i="8"/>
  <c r="C71" i="8"/>
  <c r="D71" i="8"/>
  <c r="E71" i="8"/>
  <c r="F71" i="8"/>
  <c r="B72" i="8"/>
  <c r="C72" i="8"/>
  <c r="D72" i="8"/>
  <c r="E72" i="8"/>
  <c r="F72" i="8"/>
  <c r="B73" i="8"/>
  <c r="C73" i="8"/>
  <c r="D73" i="8"/>
  <c r="E73" i="8"/>
  <c r="F73" i="8"/>
  <c r="B74" i="8"/>
  <c r="C74" i="8"/>
  <c r="D74" i="8"/>
  <c r="E74" i="8"/>
  <c r="F74" i="8"/>
  <c r="B75" i="8"/>
  <c r="C75" i="8"/>
  <c r="D75" i="8"/>
  <c r="E75" i="8"/>
  <c r="F75" i="8"/>
  <c r="B76" i="8"/>
  <c r="C76" i="8"/>
  <c r="D76" i="8"/>
  <c r="E76" i="8"/>
  <c r="F76" i="8"/>
  <c r="B77" i="8"/>
  <c r="C77" i="8"/>
  <c r="D77" i="8"/>
  <c r="E77" i="8"/>
  <c r="F77" i="8"/>
  <c r="B78" i="8"/>
  <c r="C78" i="8"/>
  <c r="D78" i="8"/>
  <c r="E78" i="8"/>
  <c r="F78" i="8"/>
  <c r="B79" i="8"/>
  <c r="C79" i="8"/>
  <c r="D79" i="8"/>
  <c r="E79" i="8"/>
  <c r="F79" i="8"/>
  <c r="B80" i="8"/>
  <c r="C80" i="8"/>
  <c r="D80" i="8"/>
  <c r="E80" i="8"/>
  <c r="F80" i="8"/>
  <c r="B81" i="8"/>
  <c r="C81" i="8"/>
  <c r="D81" i="8"/>
  <c r="E81" i="8"/>
  <c r="F81" i="8"/>
  <c r="B82" i="8"/>
  <c r="C82" i="8"/>
  <c r="D82" i="8"/>
  <c r="E82" i="8"/>
  <c r="F82" i="8"/>
  <c r="B83" i="8"/>
  <c r="C83" i="8"/>
  <c r="D83" i="8"/>
  <c r="E83" i="8"/>
  <c r="F83" i="8"/>
  <c r="B84" i="8"/>
  <c r="C84" i="8"/>
  <c r="D84" i="8"/>
  <c r="E84" i="8"/>
  <c r="F84" i="8"/>
  <c r="B85" i="8"/>
  <c r="C85" i="8"/>
  <c r="D85" i="8"/>
  <c r="E85" i="8"/>
  <c r="F85" i="8"/>
  <c r="B86" i="8"/>
  <c r="C86" i="8"/>
  <c r="D86" i="8"/>
  <c r="E86" i="8"/>
  <c r="F86" i="8"/>
  <c r="B87" i="8"/>
  <c r="C87" i="8"/>
  <c r="D87" i="8"/>
  <c r="E87" i="8"/>
  <c r="F87" i="8"/>
  <c r="B88" i="8"/>
  <c r="C88" i="8"/>
  <c r="D88" i="8"/>
  <c r="E88" i="8"/>
  <c r="F88" i="8"/>
  <c r="B89" i="8"/>
  <c r="C89" i="8"/>
  <c r="D89" i="8"/>
  <c r="E89" i="8"/>
  <c r="F89" i="8"/>
  <c r="B90" i="8"/>
  <c r="C90" i="8"/>
  <c r="D90" i="8"/>
  <c r="E90" i="8"/>
  <c r="F90" i="8"/>
  <c r="B91" i="8"/>
  <c r="C91" i="8"/>
  <c r="D91" i="8"/>
  <c r="E91" i="8"/>
  <c r="F91" i="8"/>
  <c r="B92" i="8"/>
  <c r="C92" i="8"/>
  <c r="D92" i="8"/>
  <c r="E92" i="8"/>
  <c r="F92" i="8"/>
  <c r="B93" i="8"/>
  <c r="C93" i="8"/>
  <c r="D93" i="8"/>
  <c r="E93" i="8"/>
  <c r="F93" i="8"/>
  <c r="B94" i="8"/>
  <c r="C94" i="8"/>
  <c r="D94" i="8"/>
  <c r="E94" i="8"/>
  <c r="F94" i="8"/>
  <c r="B95" i="8"/>
  <c r="C95" i="8"/>
  <c r="D95" i="8"/>
  <c r="E95" i="8"/>
  <c r="F95" i="8"/>
  <c r="B96" i="8"/>
  <c r="C96" i="8"/>
  <c r="D96" i="8"/>
  <c r="E96" i="8"/>
  <c r="F96" i="8"/>
  <c r="B97" i="8"/>
  <c r="C97" i="8"/>
  <c r="D97" i="8"/>
  <c r="E97" i="8"/>
  <c r="F97" i="8"/>
  <c r="B98" i="8"/>
  <c r="C98" i="8"/>
  <c r="D98" i="8"/>
  <c r="E98" i="8"/>
  <c r="F98" i="8"/>
  <c r="B99" i="8"/>
  <c r="C99" i="8"/>
  <c r="D99" i="8"/>
  <c r="E99" i="8"/>
  <c r="F99" i="8"/>
  <c r="B100" i="8"/>
  <c r="C100" i="8"/>
  <c r="D100" i="8"/>
  <c r="E100" i="8"/>
  <c r="F100" i="8"/>
  <c r="B101" i="8"/>
  <c r="C101" i="8"/>
  <c r="D101" i="8"/>
  <c r="E101" i="8"/>
  <c r="F101" i="8"/>
  <c r="B102" i="8"/>
  <c r="C102" i="8"/>
  <c r="D102" i="8"/>
  <c r="E102" i="8"/>
  <c r="F102" i="8"/>
  <c r="B103" i="8"/>
  <c r="C103" i="8"/>
  <c r="D103" i="8"/>
  <c r="E103" i="8"/>
  <c r="F103" i="8"/>
  <c r="B104" i="8"/>
  <c r="C104" i="8"/>
  <c r="D104" i="8"/>
  <c r="E104" i="8"/>
  <c r="F104" i="8"/>
  <c r="B105" i="8"/>
  <c r="C105" i="8"/>
  <c r="D105" i="8"/>
  <c r="E105" i="8"/>
  <c r="F105" i="8"/>
  <c r="B106" i="8"/>
  <c r="C106" i="8"/>
  <c r="D106" i="8"/>
  <c r="E106" i="8"/>
  <c r="F106" i="8"/>
  <c r="B107" i="8"/>
  <c r="C107" i="8"/>
  <c r="D107" i="8"/>
  <c r="E107" i="8"/>
  <c r="F107" i="8"/>
  <c r="B108" i="8"/>
  <c r="C108" i="8"/>
  <c r="D108" i="8"/>
  <c r="E108" i="8"/>
  <c r="F108" i="8"/>
  <c r="B109" i="8"/>
  <c r="C109" i="8"/>
  <c r="D109" i="8"/>
  <c r="E109" i="8"/>
  <c r="F109" i="8"/>
  <c r="B110" i="8"/>
  <c r="C110" i="8"/>
  <c r="D110" i="8"/>
  <c r="E110" i="8"/>
  <c r="F110" i="8"/>
  <c r="B111" i="8"/>
  <c r="C111" i="8"/>
  <c r="D111" i="8"/>
  <c r="E111" i="8"/>
  <c r="F111" i="8"/>
  <c r="B112" i="8"/>
  <c r="C112" i="8"/>
  <c r="D112" i="8"/>
  <c r="E112" i="8"/>
  <c r="F112" i="8"/>
  <c r="B113" i="8"/>
  <c r="C113" i="8"/>
  <c r="D113" i="8"/>
  <c r="E113" i="8"/>
  <c r="F113" i="8"/>
  <c r="B114" i="8"/>
  <c r="C114" i="8"/>
  <c r="D114" i="8"/>
  <c r="E114" i="8"/>
  <c r="F114" i="8"/>
  <c r="B115" i="8"/>
  <c r="C115" i="8"/>
  <c r="D115" i="8"/>
  <c r="E115" i="8"/>
  <c r="F115" i="8"/>
  <c r="B116" i="8"/>
  <c r="C116" i="8"/>
  <c r="D116" i="8"/>
  <c r="E116" i="8"/>
  <c r="F116" i="8"/>
  <c r="B117" i="8"/>
  <c r="C117" i="8"/>
  <c r="D117" i="8"/>
  <c r="E117" i="8"/>
  <c r="F117" i="8"/>
  <c r="B118" i="8"/>
  <c r="C118" i="8"/>
  <c r="D118" i="8"/>
  <c r="E118" i="8"/>
  <c r="F118" i="8"/>
  <c r="B119" i="8"/>
  <c r="C119" i="8"/>
  <c r="D119" i="8"/>
  <c r="E119" i="8"/>
  <c r="F119" i="8"/>
  <c r="B120" i="8"/>
  <c r="C120" i="8"/>
  <c r="D120" i="8"/>
  <c r="E120" i="8"/>
  <c r="F120" i="8"/>
  <c r="B121" i="8"/>
  <c r="C121" i="8"/>
  <c r="D121" i="8"/>
  <c r="E121" i="8"/>
  <c r="F121" i="8"/>
  <c r="B122" i="8"/>
  <c r="C122" i="8"/>
  <c r="D122" i="8"/>
  <c r="E122" i="8"/>
  <c r="F122" i="8"/>
  <c r="B123" i="8"/>
  <c r="C123" i="8"/>
  <c r="D123" i="8"/>
  <c r="E123" i="8"/>
  <c r="F123" i="8"/>
  <c r="B124" i="8"/>
  <c r="C124" i="8"/>
  <c r="D124" i="8"/>
  <c r="E124" i="8"/>
  <c r="F124" i="8"/>
  <c r="B125" i="8"/>
  <c r="C125" i="8"/>
  <c r="D125" i="8"/>
  <c r="E125" i="8"/>
  <c r="F125" i="8"/>
  <c r="B126" i="8"/>
  <c r="C126" i="8"/>
  <c r="D126" i="8"/>
  <c r="E126" i="8"/>
  <c r="F126" i="8"/>
  <c r="B127" i="8"/>
  <c r="C127" i="8"/>
  <c r="D127" i="8"/>
  <c r="E127" i="8"/>
  <c r="F127" i="8"/>
  <c r="B128" i="8"/>
  <c r="C128" i="8"/>
  <c r="D128" i="8"/>
  <c r="E128" i="8"/>
  <c r="F128" i="8"/>
  <c r="B129" i="8"/>
  <c r="C129" i="8"/>
  <c r="D129" i="8"/>
  <c r="E129" i="8"/>
  <c r="F129" i="8"/>
  <c r="B130" i="8"/>
  <c r="C130" i="8"/>
  <c r="D130" i="8"/>
  <c r="E130" i="8"/>
  <c r="F130" i="8"/>
  <c r="B131" i="8"/>
  <c r="C131" i="8"/>
  <c r="D131" i="8"/>
  <c r="E131" i="8"/>
  <c r="F131" i="8"/>
  <c r="B132" i="8"/>
  <c r="C132" i="8"/>
  <c r="D132" i="8"/>
  <c r="E132" i="8"/>
  <c r="F132" i="8"/>
  <c r="B133" i="8"/>
  <c r="C133" i="8"/>
  <c r="D133" i="8"/>
  <c r="E133" i="8"/>
  <c r="F133" i="8"/>
  <c r="B134" i="8"/>
  <c r="C134" i="8"/>
  <c r="D134" i="8"/>
  <c r="E134" i="8"/>
  <c r="F134" i="8"/>
  <c r="B135" i="8"/>
  <c r="C135" i="8"/>
  <c r="D135" i="8"/>
  <c r="E135" i="8"/>
  <c r="F135" i="8"/>
  <c r="B136" i="8"/>
  <c r="C136" i="8"/>
  <c r="D136" i="8"/>
  <c r="E136" i="8"/>
  <c r="F136" i="8"/>
  <c r="B137" i="8"/>
  <c r="C137" i="8"/>
  <c r="D137" i="8"/>
  <c r="E137" i="8"/>
  <c r="F137" i="8"/>
  <c r="B138" i="8"/>
  <c r="C138" i="8"/>
  <c r="D138" i="8"/>
  <c r="E138" i="8"/>
  <c r="F138" i="8"/>
  <c r="B139" i="8"/>
  <c r="C139" i="8"/>
  <c r="D139" i="8"/>
  <c r="E139" i="8"/>
  <c r="F139" i="8"/>
  <c r="B140" i="8"/>
  <c r="C140" i="8"/>
  <c r="D140" i="8"/>
  <c r="E140" i="8"/>
  <c r="F140" i="8"/>
  <c r="B141" i="8"/>
  <c r="C141" i="8"/>
  <c r="D141" i="8"/>
  <c r="E141" i="8"/>
  <c r="F141" i="8"/>
  <c r="B142" i="8"/>
  <c r="C142" i="8"/>
  <c r="D142" i="8"/>
  <c r="E142" i="8"/>
  <c r="F142" i="8"/>
  <c r="B143" i="8"/>
  <c r="C143" i="8"/>
  <c r="D143" i="8"/>
  <c r="E143" i="8"/>
  <c r="F143" i="8"/>
  <c r="B144" i="8"/>
  <c r="C144" i="8"/>
  <c r="D144" i="8"/>
  <c r="E144" i="8"/>
  <c r="F144" i="8"/>
  <c r="B145" i="8"/>
  <c r="C145" i="8"/>
  <c r="D145" i="8"/>
  <c r="E145" i="8"/>
  <c r="F145" i="8"/>
  <c r="B146" i="8"/>
  <c r="C146" i="8"/>
  <c r="D146" i="8"/>
  <c r="E146" i="8"/>
  <c r="F146" i="8"/>
  <c r="B147" i="8"/>
  <c r="C147" i="8"/>
  <c r="D147" i="8"/>
  <c r="E147" i="8"/>
  <c r="F147" i="8"/>
  <c r="B148" i="8"/>
  <c r="C148" i="8"/>
  <c r="D148" i="8"/>
  <c r="E148" i="8"/>
  <c r="F148" i="8"/>
  <c r="B149" i="8"/>
  <c r="C149" i="8"/>
  <c r="D149" i="8"/>
  <c r="E149" i="8"/>
  <c r="F149" i="8"/>
  <c r="B150" i="8"/>
  <c r="C150" i="8"/>
  <c r="D150" i="8"/>
  <c r="E150" i="8"/>
  <c r="F150" i="8"/>
  <c r="B151" i="8"/>
  <c r="C151" i="8"/>
  <c r="D151" i="8"/>
  <c r="E151" i="8"/>
  <c r="F151" i="8"/>
  <c r="B152" i="8"/>
  <c r="C152" i="8"/>
  <c r="D152" i="8"/>
  <c r="E152" i="8"/>
  <c r="F152" i="8"/>
  <c r="B153" i="8"/>
  <c r="C153" i="8"/>
  <c r="D153" i="8"/>
  <c r="E153" i="8"/>
  <c r="F153" i="8"/>
  <c r="B154" i="8"/>
  <c r="C154" i="8"/>
  <c r="D154" i="8"/>
  <c r="E154" i="8"/>
  <c r="F154" i="8"/>
  <c r="B155" i="8"/>
  <c r="C155" i="8"/>
  <c r="D155" i="8"/>
  <c r="E155" i="8"/>
  <c r="F155" i="8"/>
  <c r="B156" i="8"/>
  <c r="C156" i="8"/>
  <c r="D156" i="8"/>
  <c r="E156" i="8"/>
  <c r="F156" i="8"/>
  <c r="B157" i="8"/>
  <c r="C157" i="8"/>
  <c r="D157" i="8"/>
  <c r="E157" i="8"/>
  <c r="F157" i="8"/>
  <c r="B158" i="8"/>
  <c r="C158" i="8"/>
  <c r="D158" i="8"/>
  <c r="E158" i="8"/>
  <c r="F158" i="8"/>
  <c r="B159" i="8"/>
  <c r="C159" i="8"/>
  <c r="D159" i="8"/>
  <c r="E159" i="8"/>
  <c r="F159" i="8"/>
  <c r="B160" i="8"/>
  <c r="C160" i="8"/>
  <c r="D160" i="8"/>
  <c r="E160" i="8"/>
  <c r="F160" i="8"/>
  <c r="B161" i="8"/>
  <c r="C161" i="8"/>
  <c r="D161" i="8"/>
  <c r="E161" i="8"/>
  <c r="F161" i="8"/>
  <c r="B162" i="8"/>
  <c r="C162" i="8"/>
  <c r="D162" i="8"/>
  <c r="E162" i="8"/>
  <c r="F162" i="8"/>
  <c r="B163" i="8"/>
  <c r="C163" i="8"/>
  <c r="D163" i="8"/>
  <c r="E163" i="8"/>
  <c r="F163" i="8"/>
  <c r="B164" i="8"/>
  <c r="C164" i="8"/>
  <c r="D164" i="8"/>
  <c r="E164" i="8"/>
  <c r="F164" i="8"/>
  <c r="B165" i="8"/>
  <c r="C165" i="8"/>
  <c r="D165" i="8"/>
  <c r="E165" i="8"/>
  <c r="F165" i="8"/>
  <c r="B166" i="8"/>
  <c r="C166" i="8"/>
  <c r="D166" i="8"/>
  <c r="E166" i="8"/>
  <c r="F166" i="8"/>
  <c r="B167" i="8"/>
  <c r="C167" i="8"/>
  <c r="D167" i="8"/>
  <c r="E167" i="8"/>
  <c r="F167" i="8"/>
  <c r="B168" i="8"/>
  <c r="C168" i="8"/>
  <c r="D168" i="8"/>
  <c r="E168" i="8"/>
  <c r="F168" i="8"/>
  <c r="B169" i="8"/>
  <c r="C169" i="8"/>
  <c r="D169" i="8"/>
  <c r="E169" i="8"/>
  <c r="F169" i="8"/>
  <c r="B170" i="8"/>
  <c r="C170" i="8"/>
  <c r="D170" i="8"/>
  <c r="E170" i="8"/>
  <c r="F170" i="8"/>
  <c r="B171" i="8"/>
  <c r="C171" i="8"/>
  <c r="D171" i="8"/>
  <c r="E171" i="8"/>
  <c r="F171" i="8"/>
  <c r="B172" i="8"/>
  <c r="C172" i="8"/>
  <c r="D172" i="8"/>
  <c r="E172" i="8"/>
  <c r="F172" i="8"/>
  <c r="B173" i="8"/>
  <c r="C173" i="8"/>
  <c r="D173" i="8"/>
  <c r="E173" i="8"/>
  <c r="F173" i="8"/>
  <c r="B174" i="8"/>
  <c r="C174" i="8"/>
  <c r="D174" i="8"/>
  <c r="E174" i="8"/>
  <c r="F174" i="8"/>
  <c r="B175" i="8"/>
  <c r="C175" i="8"/>
  <c r="D175" i="8"/>
  <c r="E175" i="8"/>
  <c r="F175" i="8"/>
  <c r="B176" i="8"/>
  <c r="C176" i="8"/>
  <c r="D176" i="8"/>
  <c r="E176" i="8"/>
  <c r="F176" i="8"/>
  <c r="B177" i="8"/>
  <c r="C177" i="8"/>
  <c r="D177" i="8"/>
  <c r="E177" i="8"/>
  <c r="F177" i="8"/>
  <c r="B178" i="8"/>
  <c r="C178" i="8"/>
  <c r="D178" i="8"/>
  <c r="E178" i="8"/>
  <c r="F178" i="8"/>
  <c r="B179" i="8"/>
  <c r="C179" i="8"/>
  <c r="D179" i="8"/>
  <c r="E179" i="8"/>
  <c r="F179" i="8"/>
  <c r="B180" i="8"/>
  <c r="C180" i="8"/>
  <c r="D180" i="8"/>
  <c r="E180" i="8"/>
  <c r="F180" i="8"/>
  <c r="B181" i="8"/>
  <c r="C181" i="8"/>
  <c r="D181" i="8"/>
  <c r="E181" i="8"/>
  <c r="F181" i="8"/>
  <c r="B182" i="8"/>
  <c r="C182" i="8"/>
  <c r="D182" i="8"/>
  <c r="E182" i="8"/>
  <c r="F182" i="8"/>
  <c r="B183" i="8"/>
  <c r="C183" i="8"/>
  <c r="D183" i="8"/>
  <c r="E183" i="8"/>
  <c r="F183" i="8"/>
  <c r="B184" i="8"/>
  <c r="C184" i="8"/>
  <c r="D184" i="8"/>
  <c r="E184" i="8"/>
  <c r="F184" i="8"/>
  <c r="B185" i="8"/>
  <c r="C185" i="8"/>
  <c r="D185" i="8"/>
  <c r="E185" i="8"/>
  <c r="F185" i="8"/>
  <c r="B186" i="8"/>
  <c r="C186" i="8"/>
  <c r="D186" i="8"/>
  <c r="E186" i="8"/>
  <c r="F186" i="8"/>
  <c r="B187" i="8"/>
  <c r="C187" i="8"/>
  <c r="D187" i="8"/>
  <c r="E187" i="8"/>
  <c r="F187" i="8"/>
  <c r="B188" i="8"/>
  <c r="C188" i="8"/>
  <c r="D188" i="8"/>
  <c r="E188" i="8"/>
  <c r="F188" i="8"/>
  <c r="B189" i="8"/>
  <c r="C189" i="8"/>
  <c r="D189" i="8"/>
  <c r="E189" i="8"/>
  <c r="F189" i="8"/>
  <c r="B190" i="8"/>
  <c r="C190" i="8"/>
  <c r="D190" i="8"/>
  <c r="E190" i="8"/>
  <c r="F190" i="8"/>
  <c r="B191" i="8"/>
  <c r="C191" i="8"/>
  <c r="D191" i="8"/>
  <c r="E191" i="8"/>
  <c r="F191" i="8"/>
  <c r="B192" i="8"/>
  <c r="C192" i="8"/>
  <c r="D192" i="8"/>
  <c r="E192" i="8"/>
  <c r="F192" i="8"/>
  <c r="B193" i="8"/>
  <c r="C193" i="8"/>
  <c r="D193" i="8"/>
  <c r="E193" i="8"/>
  <c r="F193" i="8"/>
  <c r="B194" i="8"/>
  <c r="C194" i="8"/>
  <c r="D194" i="8"/>
  <c r="E194" i="8"/>
  <c r="F194" i="8"/>
  <c r="B195" i="8"/>
  <c r="C195" i="8"/>
  <c r="D195" i="8"/>
  <c r="E195" i="8"/>
  <c r="F195" i="8"/>
  <c r="B196" i="8"/>
  <c r="C196" i="8"/>
  <c r="D196" i="8"/>
  <c r="E196" i="8"/>
  <c r="F196" i="8"/>
  <c r="B197" i="8"/>
  <c r="C197" i="8"/>
  <c r="D197" i="8"/>
  <c r="E197" i="8"/>
  <c r="F197" i="8"/>
  <c r="B198" i="8"/>
  <c r="C198" i="8"/>
  <c r="D198" i="8"/>
  <c r="E198" i="8"/>
  <c r="F198" i="8"/>
  <c r="B199" i="8"/>
  <c r="C199" i="8"/>
  <c r="D199" i="8"/>
  <c r="E199" i="8"/>
  <c r="F199" i="8"/>
  <c r="B200" i="8"/>
  <c r="C200" i="8"/>
  <c r="D200" i="8"/>
  <c r="E200" i="8"/>
  <c r="F200" i="8"/>
  <c r="B201" i="8"/>
  <c r="C201" i="8"/>
  <c r="D201" i="8"/>
  <c r="E201" i="8"/>
  <c r="F201" i="8"/>
  <c r="B202" i="8"/>
  <c r="C202" i="8"/>
  <c r="D202" i="8"/>
  <c r="E202" i="8"/>
  <c r="F202" i="8"/>
  <c r="B203" i="8"/>
  <c r="C203" i="8"/>
  <c r="D203" i="8"/>
  <c r="E203" i="8"/>
  <c r="F203" i="8"/>
  <c r="B204" i="8"/>
  <c r="C204" i="8"/>
  <c r="D204" i="8"/>
  <c r="E204" i="8"/>
  <c r="F204" i="8"/>
  <c r="B205" i="8"/>
  <c r="C205" i="8"/>
  <c r="D205" i="8"/>
  <c r="E205" i="8"/>
  <c r="F205" i="8"/>
  <c r="B206" i="8"/>
  <c r="C206" i="8"/>
  <c r="D206" i="8"/>
  <c r="E206" i="8"/>
  <c r="F206" i="8"/>
  <c r="B207" i="8"/>
  <c r="C207" i="8"/>
  <c r="D207" i="8"/>
  <c r="E207" i="8"/>
  <c r="F207" i="8"/>
  <c r="B208" i="8"/>
  <c r="C208" i="8"/>
  <c r="D208" i="8"/>
  <c r="E208" i="8"/>
  <c r="F208" i="8"/>
  <c r="B209" i="8"/>
  <c r="C209" i="8"/>
  <c r="D209" i="8"/>
  <c r="E209" i="8"/>
  <c r="F209" i="8"/>
  <c r="B210" i="8"/>
  <c r="C210" i="8"/>
  <c r="D210" i="8"/>
  <c r="E210" i="8"/>
  <c r="F210" i="8"/>
  <c r="B211" i="8"/>
  <c r="C211" i="8"/>
  <c r="D211" i="8"/>
  <c r="E211" i="8"/>
  <c r="F211" i="8"/>
  <c r="B212" i="8"/>
  <c r="C212" i="8"/>
  <c r="D212" i="8"/>
  <c r="E212" i="8"/>
  <c r="F212" i="8"/>
  <c r="B213" i="8"/>
  <c r="C213" i="8"/>
  <c r="D213" i="8"/>
  <c r="E213" i="8"/>
  <c r="F213" i="8"/>
  <c r="B214" i="8"/>
  <c r="C214" i="8"/>
  <c r="D214" i="8"/>
  <c r="E214" i="8"/>
  <c r="F214" i="8"/>
  <c r="B215" i="8"/>
  <c r="C215" i="8"/>
  <c r="D215" i="8"/>
  <c r="E215" i="8"/>
  <c r="F215" i="8"/>
  <c r="B216" i="8"/>
  <c r="C216" i="8"/>
  <c r="D216" i="8"/>
  <c r="E216" i="8"/>
  <c r="F216" i="8"/>
  <c r="B217" i="8"/>
  <c r="C217" i="8"/>
  <c r="D217" i="8"/>
  <c r="E217" i="8"/>
  <c r="F217" i="8"/>
  <c r="B218" i="8"/>
  <c r="C218" i="8"/>
  <c r="D218" i="8"/>
  <c r="E218" i="8"/>
  <c r="F218" i="8"/>
  <c r="B219" i="8"/>
  <c r="C219" i="8"/>
  <c r="D219" i="8"/>
  <c r="E219" i="8"/>
  <c r="F219" i="8"/>
  <c r="B220" i="8"/>
  <c r="C220" i="8"/>
  <c r="D220" i="8"/>
  <c r="E220" i="8"/>
  <c r="F220" i="8"/>
  <c r="B221" i="8"/>
  <c r="C221" i="8"/>
  <c r="D221" i="8"/>
  <c r="E221" i="8"/>
  <c r="F221" i="8"/>
  <c r="B222" i="8"/>
  <c r="C222" i="8"/>
  <c r="D222" i="8"/>
  <c r="E222" i="8"/>
  <c r="F222" i="8"/>
  <c r="B223" i="8"/>
  <c r="C223" i="8"/>
  <c r="D223" i="8"/>
  <c r="E223" i="8"/>
  <c r="F223" i="8"/>
  <c r="B224" i="8"/>
  <c r="C224" i="8"/>
  <c r="D224" i="8"/>
  <c r="E224" i="8"/>
  <c r="F224" i="8"/>
  <c r="B225" i="8"/>
  <c r="C225" i="8"/>
  <c r="D225" i="8"/>
  <c r="E225" i="8"/>
  <c r="F225" i="8"/>
  <c r="B226" i="8"/>
  <c r="C226" i="8"/>
  <c r="D226" i="8"/>
  <c r="E226" i="8"/>
  <c r="F226" i="8"/>
  <c r="B227" i="8"/>
  <c r="C227" i="8"/>
  <c r="D227" i="8"/>
  <c r="E227" i="8"/>
  <c r="F227" i="8"/>
  <c r="B228" i="8"/>
  <c r="C228" i="8"/>
  <c r="D228" i="8"/>
  <c r="E228" i="8"/>
  <c r="F228" i="8"/>
  <c r="B229" i="8"/>
  <c r="C229" i="8"/>
  <c r="D229" i="8"/>
  <c r="E229" i="8"/>
  <c r="F229" i="8"/>
  <c r="B230" i="8"/>
  <c r="C230" i="8"/>
  <c r="D230" i="8"/>
  <c r="E230" i="8"/>
  <c r="F230" i="8"/>
  <c r="B231" i="8"/>
  <c r="C231" i="8"/>
  <c r="D231" i="8"/>
  <c r="E231" i="8"/>
  <c r="F231" i="8"/>
  <c r="B232" i="8"/>
  <c r="C232" i="8"/>
  <c r="D232" i="8"/>
  <c r="E232" i="8"/>
  <c r="F232" i="8"/>
  <c r="B233" i="8"/>
  <c r="C233" i="8"/>
  <c r="D233" i="8"/>
  <c r="E233" i="8"/>
  <c r="F233" i="8"/>
  <c r="B234" i="8"/>
  <c r="C234" i="8"/>
  <c r="D234" i="8"/>
  <c r="E234" i="8"/>
  <c r="F234" i="8"/>
  <c r="B235" i="8"/>
  <c r="C235" i="8"/>
  <c r="D235" i="8"/>
  <c r="E235" i="8"/>
  <c r="F235" i="8"/>
  <c r="B236" i="8"/>
  <c r="C236" i="8"/>
  <c r="D236" i="8"/>
  <c r="E236" i="8"/>
  <c r="F236" i="8"/>
  <c r="B237" i="8"/>
  <c r="C237" i="8"/>
  <c r="D237" i="8"/>
  <c r="E237" i="8"/>
  <c r="F237" i="8"/>
  <c r="B238" i="8"/>
  <c r="C238" i="8"/>
  <c r="D238" i="8"/>
  <c r="E238" i="8"/>
  <c r="F238" i="8"/>
  <c r="B239" i="8"/>
  <c r="C239" i="8"/>
  <c r="D239" i="8"/>
  <c r="E239" i="8"/>
  <c r="F239" i="8"/>
  <c r="B240" i="8"/>
  <c r="C240" i="8"/>
  <c r="D240" i="8"/>
  <c r="E240" i="8"/>
  <c r="F240" i="8"/>
  <c r="B241" i="8"/>
  <c r="C241" i="8"/>
  <c r="D241" i="8"/>
  <c r="E241" i="8"/>
  <c r="F241" i="8"/>
  <c r="B242" i="8"/>
  <c r="C242" i="8"/>
  <c r="D242" i="8"/>
  <c r="E242" i="8"/>
  <c r="F242" i="8"/>
  <c r="B243" i="8"/>
  <c r="C243" i="8"/>
  <c r="D243" i="8"/>
  <c r="E243" i="8"/>
  <c r="F243" i="8"/>
  <c r="B244" i="8"/>
  <c r="C244" i="8"/>
  <c r="D244" i="8"/>
  <c r="E244" i="8"/>
  <c r="F244" i="8"/>
  <c r="B245" i="8"/>
  <c r="C245" i="8"/>
  <c r="D245" i="8"/>
  <c r="E245" i="8"/>
  <c r="F245" i="8"/>
  <c r="B246" i="8"/>
  <c r="C246" i="8"/>
  <c r="D246" i="8"/>
  <c r="E246" i="8"/>
  <c r="F246" i="8"/>
  <c r="B247" i="8"/>
  <c r="C247" i="8"/>
  <c r="D247" i="8"/>
  <c r="E247" i="8"/>
  <c r="F247" i="8"/>
  <c r="B248" i="8"/>
  <c r="C248" i="8"/>
  <c r="D248" i="8"/>
  <c r="E248" i="8"/>
  <c r="F248" i="8"/>
  <c r="B249" i="8"/>
  <c r="C249" i="8"/>
  <c r="D249" i="8"/>
  <c r="E249" i="8"/>
  <c r="F249" i="8"/>
  <c r="B250" i="8"/>
  <c r="C250" i="8"/>
  <c r="D250" i="8"/>
  <c r="E250" i="8"/>
  <c r="F250" i="8"/>
  <c r="B251" i="8"/>
  <c r="C251" i="8"/>
  <c r="D251" i="8"/>
  <c r="E251" i="8"/>
  <c r="F251" i="8"/>
  <c r="B252" i="8"/>
  <c r="C252" i="8"/>
  <c r="D252" i="8"/>
  <c r="E252" i="8"/>
  <c r="F252" i="8"/>
  <c r="B253" i="8"/>
  <c r="C253" i="8"/>
  <c r="D253" i="8"/>
  <c r="E253" i="8"/>
  <c r="F253" i="8"/>
  <c r="B254" i="8"/>
  <c r="C254" i="8"/>
  <c r="D254" i="8"/>
  <c r="E254" i="8"/>
  <c r="F254" i="8"/>
  <c r="B255" i="8"/>
  <c r="C255" i="8"/>
  <c r="D255" i="8"/>
  <c r="E255" i="8"/>
  <c r="F255" i="8"/>
  <c r="B256" i="8"/>
  <c r="C256" i="8"/>
  <c r="D256" i="8"/>
  <c r="E256" i="8"/>
  <c r="F256" i="8"/>
  <c r="B257" i="8"/>
  <c r="C257" i="8"/>
  <c r="D257" i="8"/>
  <c r="E257" i="8"/>
  <c r="F257" i="8"/>
  <c r="B258" i="8"/>
  <c r="C258" i="8"/>
  <c r="D258" i="8"/>
  <c r="E258" i="8"/>
  <c r="F258" i="8"/>
  <c r="B259" i="8"/>
  <c r="C259" i="8"/>
  <c r="D259" i="8"/>
  <c r="E259" i="8"/>
  <c r="F259" i="8"/>
  <c r="B260" i="8"/>
  <c r="C260" i="8"/>
  <c r="D260" i="8"/>
  <c r="E260" i="8"/>
  <c r="F260" i="8"/>
  <c r="B261" i="8"/>
  <c r="C261" i="8"/>
  <c r="D261" i="8"/>
  <c r="E261" i="8"/>
  <c r="F261" i="8"/>
  <c r="B262" i="8"/>
  <c r="C262" i="8"/>
  <c r="D262" i="8"/>
  <c r="E262" i="8"/>
  <c r="F262" i="8"/>
  <c r="B263" i="8"/>
  <c r="C263" i="8"/>
  <c r="D263" i="8"/>
  <c r="E263" i="8"/>
  <c r="F263" i="8"/>
  <c r="B264" i="8"/>
  <c r="C264" i="8"/>
  <c r="D264" i="8"/>
  <c r="E264" i="8"/>
  <c r="F264" i="8"/>
  <c r="B265" i="8"/>
  <c r="C265" i="8"/>
  <c r="D265" i="8"/>
  <c r="E265" i="8"/>
  <c r="F265" i="8"/>
  <c r="B266" i="8"/>
  <c r="C266" i="8"/>
  <c r="D266" i="8"/>
  <c r="E266" i="8"/>
  <c r="F266" i="8"/>
  <c r="B267" i="8"/>
  <c r="C267" i="8"/>
  <c r="D267" i="8"/>
  <c r="E267" i="8"/>
  <c r="F267" i="8"/>
  <c r="B268" i="8"/>
  <c r="C268" i="8"/>
  <c r="D268" i="8"/>
  <c r="E268" i="8"/>
  <c r="F268" i="8"/>
  <c r="B269" i="8"/>
  <c r="C269" i="8"/>
  <c r="D269" i="8"/>
  <c r="E269" i="8"/>
  <c r="F269" i="8"/>
  <c r="B270" i="8"/>
  <c r="C270" i="8"/>
  <c r="D270" i="8"/>
  <c r="E270" i="8"/>
  <c r="F270" i="8"/>
  <c r="B271" i="8"/>
  <c r="C271" i="8"/>
  <c r="D271" i="8"/>
  <c r="E271" i="8"/>
  <c r="F271" i="8"/>
  <c r="B272" i="8"/>
  <c r="C272" i="8"/>
  <c r="D272" i="8"/>
  <c r="E272" i="8"/>
  <c r="F272" i="8"/>
  <c r="B273" i="8"/>
  <c r="C273" i="8"/>
  <c r="D273" i="8"/>
  <c r="E273" i="8"/>
  <c r="F273" i="8"/>
  <c r="B274" i="8"/>
  <c r="C274" i="8"/>
  <c r="D274" i="8"/>
  <c r="E274" i="8"/>
  <c r="F274" i="8"/>
  <c r="B275" i="8"/>
  <c r="C275" i="8"/>
  <c r="D275" i="8"/>
  <c r="E275" i="8"/>
  <c r="F275" i="8"/>
  <c r="B276" i="8"/>
  <c r="C276" i="8"/>
  <c r="D276" i="8"/>
  <c r="E276" i="8"/>
  <c r="F276" i="8"/>
  <c r="B277" i="8"/>
  <c r="C277" i="8"/>
  <c r="D277" i="8"/>
  <c r="E277" i="8"/>
  <c r="F277" i="8"/>
  <c r="B278" i="8"/>
  <c r="C278" i="8"/>
  <c r="D278" i="8"/>
  <c r="E278" i="8"/>
  <c r="F278" i="8"/>
  <c r="B279" i="8"/>
  <c r="C279" i="8"/>
  <c r="D279" i="8"/>
  <c r="E279" i="8"/>
  <c r="F279" i="8"/>
  <c r="B280" i="8"/>
  <c r="C280" i="8"/>
  <c r="D280" i="8"/>
  <c r="E280" i="8"/>
  <c r="F280" i="8"/>
  <c r="B281" i="8"/>
  <c r="C281" i="8"/>
  <c r="D281" i="8"/>
  <c r="E281" i="8"/>
  <c r="F281" i="8"/>
  <c r="B282" i="8"/>
  <c r="C282" i="8"/>
  <c r="D282" i="8"/>
  <c r="E282" i="8"/>
  <c r="F282" i="8"/>
  <c r="B283" i="8"/>
  <c r="C283" i="8"/>
  <c r="D283" i="8"/>
  <c r="E283" i="8"/>
  <c r="F283" i="8"/>
  <c r="B284" i="8"/>
  <c r="C284" i="8"/>
  <c r="D284" i="8"/>
  <c r="E284" i="8"/>
  <c r="F284" i="8"/>
  <c r="B285" i="8"/>
  <c r="C285" i="8"/>
  <c r="D285" i="8"/>
  <c r="E285" i="8"/>
  <c r="F285" i="8"/>
  <c r="B286" i="8"/>
  <c r="C286" i="8"/>
  <c r="D286" i="8"/>
  <c r="E286" i="8"/>
  <c r="F286" i="8"/>
  <c r="B287" i="8"/>
  <c r="C287" i="8"/>
  <c r="D287" i="8"/>
  <c r="E287" i="8"/>
  <c r="F287" i="8"/>
  <c r="B288" i="8"/>
  <c r="C288" i="8"/>
  <c r="D288" i="8"/>
  <c r="E288" i="8"/>
  <c r="F288" i="8"/>
  <c r="B289" i="8"/>
  <c r="C289" i="8"/>
  <c r="D289" i="8"/>
  <c r="E289" i="8"/>
  <c r="F289" i="8"/>
  <c r="B290" i="8"/>
  <c r="C290" i="8"/>
  <c r="D290" i="8"/>
  <c r="E290" i="8"/>
  <c r="F290" i="8"/>
  <c r="B291" i="8"/>
  <c r="C291" i="8"/>
  <c r="D291" i="8"/>
  <c r="E291" i="8"/>
  <c r="F291" i="8"/>
  <c r="B292" i="8"/>
  <c r="C292" i="8"/>
  <c r="D292" i="8"/>
  <c r="E292" i="8"/>
  <c r="F292" i="8"/>
  <c r="B293" i="8"/>
  <c r="C293" i="8"/>
  <c r="D293" i="8"/>
  <c r="E293" i="8"/>
  <c r="F293" i="8"/>
  <c r="B294" i="8"/>
  <c r="C294" i="8"/>
  <c r="D294" i="8"/>
  <c r="E294" i="8"/>
  <c r="F294" i="8"/>
  <c r="B295" i="8"/>
  <c r="C295" i="8"/>
  <c r="D295" i="8"/>
  <c r="E295" i="8"/>
  <c r="F295" i="8"/>
  <c r="B296" i="8"/>
  <c r="C296" i="8"/>
  <c r="D296" i="8"/>
  <c r="E296" i="8"/>
  <c r="F296" i="8"/>
  <c r="B297" i="8"/>
  <c r="C297" i="8"/>
  <c r="D297" i="8"/>
  <c r="E297" i="8"/>
  <c r="F297" i="8"/>
  <c r="B298" i="8"/>
  <c r="C298" i="8"/>
  <c r="D298" i="8"/>
  <c r="E298" i="8"/>
  <c r="F298" i="8"/>
  <c r="B299" i="8"/>
  <c r="C299" i="8"/>
  <c r="D299" i="8"/>
  <c r="E299" i="8"/>
  <c r="F299" i="8"/>
  <c r="B300" i="8"/>
  <c r="C300" i="8"/>
  <c r="D300" i="8"/>
  <c r="E300" i="8"/>
  <c r="F300" i="8"/>
  <c r="B301" i="8"/>
  <c r="C301" i="8"/>
  <c r="D301" i="8"/>
  <c r="E301" i="8"/>
  <c r="F301" i="8"/>
  <c r="B302" i="8"/>
  <c r="C302" i="8"/>
  <c r="D302" i="8"/>
  <c r="E302" i="8"/>
  <c r="F302" i="8"/>
  <c r="B303" i="8"/>
  <c r="C303" i="8"/>
  <c r="D303" i="8"/>
  <c r="E303" i="8"/>
  <c r="F303" i="8"/>
  <c r="B304" i="8"/>
  <c r="C304" i="8"/>
  <c r="D304" i="8"/>
  <c r="E304" i="8"/>
  <c r="F304" i="8"/>
  <c r="B305" i="8"/>
  <c r="C305" i="8"/>
  <c r="D305" i="8"/>
  <c r="E305" i="8"/>
  <c r="F305" i="8"/>
  <c r="B306" i="8"/>
  <c r="C306" i="8"/>
  <c r="D306" i="8"/>
  <c r="E306" i="8"/>
  <c r="F306" i="8"/>
  <c r="B307" i="8"/>
  <c r="C307" i="8"/>
  <c r="D307" i="8"/>
  <c r="E307" i="8"/>
  <c r="F307" i="8"/>
  <c r="B308" i="8"/>
  <c r="C308" i="8"/>
  <c r="D308" i="8"/>
  <c r="E308" i="8"/>
  <c r="F308" i="8"/>
  <c r="B309" i="8"/>
  <c r="C309" i="8"/>
  <c r="D309" i="8"/>
  <c r="E309" i="8"/>
  <c r="F309" i="8"/>
  <c r="B310" i="8"/>
  <c r="C310" i="8"/>
  <c r="D310" i="8"/>
  <c r="E310" i="8"/>
  <c r="F310" i="8"/>
  <c r="B311" i="8"/>
  <c r="C311" i="8"/>
  <c r="D311" i="8"/>
  <c r="E311" i="8"/>
  <c r="F311" i="8"/>
  <c r="B312" i="8"/>
  <c r="C312" i="8"/>
  <c r="D312" i="8"/>
  <c r="E312" i="8"/>
  <c r="F312" i="8"/>
  <c r="B313" i="8"/>
  <c r="C313" i="8"/>
  <c r="D313" i="8"/>
  <c r="E313" i="8"/>
  <c r="F313" i="8"/>
  <c r="B314" i="8"/>
  <c r="C314" i="8"/>
  <c r="D314" i="8"/>
  <c r="E314" i="8"/>
  <c r="F314" i="8"/>
  <c r="B315" i="8"/>
  <c r="C315" i="8"/>
  <c r="D315" i="8"/>
  <c r="E315" i="8"/>
  <c r="F315" i="8"/>
  <c r="B316" i="8"/>
  <c r="C316" i="8"/>
  <c r="D316" i="8"/>
  <c r="E316" i="8"/>
  <c r="F316" i="8"/>
  <c r="B317" i="8"/>
  <c r="C317" i="8"/>
  <c r="D317" i="8"/>
  <c r="E317" i="8"/>
  <c r="F317" i="8"/>
  <c r="B318" i="8"/>
  <c r="C318" i="8"/>
  <c r="D318" i="8"/>
  <c r="E318" i="8"/>
  <c r="F318" i="8"/>
  <c r="B319" i="8"/>
  <c r="C319" i="8"/>
  <c r="D319" i="8"/>
  <c r="E319" i="8"/>
  <c r="F319" i="8"/>
  <c r="B320" i="8"/>
  <c r="C320" i="8"/>
  <c r="D320" i="8"/>
  <c r="E320" i="8"/>
  <c r="F320" i="8"/>
  <c r="B321" i="8"/>
  <c r="C321" i="8"/>
  <c r="D321" i="8"/>
  <c r="E321" i="8"/>
  <c r="F321" i="8"/>
  <c r="B322" i="8"/>
  <c r="C322" i="8"/>
  <c r="D322" i="8"/>
  <c r="E322" i="8"/>
  <c r="F322" i="8"/>
  <c r="B323" i="8"/>
  <c r="C323" i="8"/>
  <c r="D323" i="8"/>
  <c r="E323" i="8"/>
  <c r="F323" i="8"/>
  <c r="B324" i="8"/>
  <c r="C324" i="8"/>
  <c r="D324" i="8"/>
  <c r="E324" i="8"/>
  <c r="F324" i="8"/>
  <c r="B325" i="8"/>
  <c r="C325" i="8"/>
  <c r="D325" i="8"/>
  <c r="E325" i="8"/>
  <c r="F325" i="8"/>
  <c r="B326" i="8"/>
  <c r="C326" i="8"/>
  <c r="D326" i="8"/>
  <c r="E326" i="8"/>
  <c r="F326" i="8"/>
  <c r="B327" i="8"/>
  <c r="C327" i="8"/>
  <c r="D327" i="8"/>
  <c r="E327" i="8"/>
  <c r="F327" i="8"/>
  <c r="B328" i="8"/>
  <c r="C328" i="8"/>
  <c r="D328" i="8"/>
  <c r="E328" i="8"/>
  <c r="F328" i="8"/>
  <c r="B329" i="8"/>
  <c r="C329" i="8"/>
  <c r="D329" i="8"/>
  <c r="E329" i="8"/>
  <c r="F329" i="8"/>
  <c r="B330" i="8"/>
  <c r="C330" i="8"/>
  <c r="D330" i="8"/>
  <c r="E330" i="8"/>
  <c r="F330" i="8"/>
  <c r="B331" i="8"/>
  <c r="C331" i="8"/>
  <c r="D331" i="8"/>
  <c r="E331" i="8"/>
  <c r="F331" i="8"/>
  <c r="B332" i="8"/>
  <c r="C332" i="8"/>
  <c r="D332" i="8"/>
  <c r="E332" i="8"/>
  <c r="F332" i="8"/>
  <c r="B333" i="8"/>
  <c r="C333" i="8"/>
  <c r="D333" i="8"/>
  <c r="E333" i="8"/>
  <c r="F333" i="8"/>
  <c r="B334" i="8"/>
  <c r="C334" i="8"/>
  <c r="D334" i="8"/>
  <c r="E334" i="8"/>
  <c r="F334" i="8"/>
  <c r="B335" i="8"/>
  <c r="C335" i="8"/>
  <c r="D335" i="8"/>
  <c r="E335" i="8"/>
  <c r="F335" i="8"/>
  <c r="B336" i="8"/>
  <c r="C336" i="8"/>
  <c r="D336" i="8"/>
  <c r="E336" i="8"/>
  <c r="F336" i="8"/>
  <c r="B337" i="8"/>
  <c r="C337" i="8"/>
  <c r="D337" i="8"/>
  <c r="E337" i="8"/>
  <c r="F337" i="8"/>
  <c r="B338" i="8"/>
  <c r="C338" i="8"/>
  <c r="D338" i="8"/>
  <c r="E338" i="8"/>
  <c r="F338" i="8"/>
  <c r="B339" i="8"/>
  <c r="C339" i="8"/>
  <c r="D339" i="8"/>
  <c r="E339" i="8"/>
  <c r="F339" i="8"/>
  <c r="B340" i="8"/>
  <c r="C340" i="8"/>
  <c r="D340" i="8"/>
  <c r="E340" i="8"/>
  <c r="F340" i="8"/>
  <c r="B341" i="8"/>
  <c r="C341" i="8"/>
  <c r="D341" i="8"/>
  <c r="E341" i="8"/>
  <c r="F341" i="8"/>
  <c r="B342" i="8"/>
  <c r="C342" i="8"/>
  <c r="D342" i="8"/>
  <c r="E342" i="8"/>
  <c r="F342" i="8"/>
  <c r="B343" i="8"/>
  <c r="C343" i="8"/>
  <c r="D343" i="8"/>
  <c r="E343" i="8"/>
  <c r="F343" i="8"/>
  <c r="B344" i="8"/>
  <c r="C344" i="8"/>
  <c r="D344" i="8"/>
  <c r="E344" i="8"/>
  <c r="F344" i="8"/>
  <c r="B345" i="8"/>
  <c r="C345" i="8"/>
  <c r="D345" i="8"/>
  <c r="E345" i="8"/>
  <c r="F345" i="8"/>
  <c r="B346" i="8"/>
  <c r="C346" i="8"/>
  <c r="D346" i="8"/>
  <c r="E346" i="8"/>
  <c r="F346" i="8"/>
  <c r="B347" i="8"/>
  <c r="C347" i="8"/>
  <c r="D347" i="8"/>
  <c r="E347" i="8"/>
  <c r="F347" i="8"/>
  <c r="B348" i="8"/>
  <c r="C348" i="8"/>
  <c r="D348" i="8"/>
  <c r="E348" i="8"/>
  <c r="F348" i="8"/>
  <c r="B349" i="8"/>
  <c r="C349" i="8"/>
  <c r="D349" i="8"/>
  <c r="E349" i="8"/>
  <c r="F349" i="8"/>
  <c r="B350" i="8"/>
  <c r="C350" i="8"/>
  <c r="D350" i="8"/>
  <c r="E350" i="8"/>
  <c r="F350" i="8"/>
  <c r="B351" i="8"/>
  <c r="C351" i="8"/>
  <c r="D351" i="8"/>
  <c r="E351" i="8"/>
  <c r="F351" i="8"/>
  <c r="B352" i="8"/>
  <c r="C352" i="8"/>
  <c r="D352" i="8"/>
  <c r="E352" i="8"/>
  <c r="F352" i="8"/>
  <c r="B353" i="8"/>
  <c r="C353" i="8"/>
  <c r="D353" i="8"/>
  <c r="E353" i="8"/>
  <c r="F353" i="8"/>
  <c r="B354" i="8"/>
  <c r="C354" i="8"/>
  <c r="D354" i="8"/>
  <c r="E354" i="8"/>
  <c r="F354" i="8"/>
  <c r="B355" i="8"/>
  <c r="C355" i="8"/>
  <c r="D355" i="8"/>
  <c r="E355" i="8"/>
  <c r="F355" i="8"/>
  <c r="B356" i="8"/>
  <c r="C356" i="8"/>
  <c r="D356" i="8"/>
  <c r="E356" i="8"/>
  <c r="F356" i="8"/>
  <c r="B357" i="8"/>
  <c r="C357" i="8"/>
  <c r="D357" i="8"/>
  <c r="E357" i="8"/>
  <c r="F357" i="8"/>
  <c r="B358" i="8"/>
  <c r="C358" i="8"/>
  <c r="D358" i="8"/>
  <c r="E358" i="8"/>
  <c r="F358" i="8"/>
  <c r="B359" i="8"/>
  <c r="C359" i="8"/>
  <c r="D359" i="8"/>
  <c r="E359" i="8"/>
  <c r="F359" i="8"/>
  <c r="B360" i="8"/>
  <c r="C360" i="8"/>
  <c r="D360" i="8"/>
  <c r="E360" i="8"/>
  <c r="F360" i="8"/>
  <c r="B361" i="8"/>
  <c r="C361" i="8"/>
  <c r="D361" i="8"/>
  <c r="E361" i="8"/>
  <c r="F361" i="8"/>
  <c r="B362" i="8"/>
  <c r="C362" i="8"/>
  <c r="D362" i="8"/>
  <c r="E362" i="8"/>
  <c r="F362" i="8"/>
  <c r="B363" i="8"/>
  <c r="C363" i="8"/>
  <c r="D363" i="8"/>
  <c r="E363" i="8"/>
  <c r="F363" i="8"/>
  <c r="B364" i="8"/>
  <c r="C364" i="8"/>
  <c r="D364" i="8"/>
  <c r="E364" i="8"/>
  <c r="F364" i="8"/>
  <c r="B365" i="8"/>
  <c r="C365" i="8"/>
  <c r="D365" i="8"/>
  <c r="E365" i="8"/>
  <c r="F365" i="8"/>
  <c r="B366" i="8"/>
  <c r="C366" i="8"/>
  <c r="D366" i="8"/>
  <c r="E366" i="8"/>
  <c r="F366" i="8"/>
  <c r="B367" i="8"/>
  <c r="C367" i="8"/>
  <c r="D367" i="8"/>
  <c r="E367" i="8"/>
  <c r="F367" i="8"/>
  <c r="B368" i="8"/>
  <c r="C368" i="8"/>
  <c r="D368" i="8"/>
  <c r="E368" i="8"/>
  <c r="F368" i="8"/>
  <c r="B369" i="8"/>
  <c r="C369" i="8"/>
  <c r="D369" i="8"/>
  <c r="E369" i="8"/>
  <c r="F369" i="8"/>
  <c r="B370" i="8"/>
  <c r="C370" i="8"/>
  <c r="D370" i="8"/>
  <c r="E370" i="8"/>
  <c r="F370" i="8"/>
  <c r="B371" i="8"/>
  <c r="C371" i="8"/>
  <c r="D371" i="8"/>
  <c r="E371" i="8"/>
  <c r="F371" i="8"/>
  <c r="B372" i="8"/>
  <c r="C372" i="8"/>
  <c r="D372" i="8"/>
  <c r="E372" i="8"/>
  <c r="F372" i="8"/>
  <c r="B373" i="8"/>
  <c r="C373" i="8"/>
  <c r="D373" i="8"/>
  <c r="E373" i="8"/>
  <c r="F373" i="8"/>
  <c r="B374" i="8"/>
  <c r="C374" i="8"/>
  <c r="D374" i="8"/>
  <c r="E374" i="8"/>
  <c r="F374" i="8"/>
  <c r="B375" i="8"/>
  <c r="C375" i="8"/>
  <c r="D375" i="8"/>
  <c r="E375" i="8"/>
  <c r="F375" i="8"/>
  <c r="B376" i="8"/>
  <c r="C376" i="8"/>
  <c r="D376" i="8"/>
  <c r="E376" i="8"/>
  <c r="F376" i="8"/>
  <c r="B377" i="8"/>
  <c r="C377" i="8"/>
  <c r="D377" i="8"/>
  <c r="E377" i="8"/>
  <c r="F377" i="8"/>
  <c r="B378" i="8"/>
  <c r="C378" i="8"/>
  <c r="D378" i="8"/>
  <c r="E378" i="8"/>
  <c r="F378" i="8"/>
  <c r="B379" i="8"/>
  <c r="C379" i="8"/>
  <c r="D379" i="8"/>
  <c r="E379" i="8"/>
  <c r="F379" i="8"/>
  <c r="B380" i="8"/>
  <c r="C380" i="8"/>
  <c r="D380" i="8"/>
  <c r="E380" i="8"/>
  <c r="F380" i="8"/>
  <c r="B381" i="8"/>
  <c r="C381" i="8"/>
  <c r="D381" i="8"/>
  <c r="E381" i="8"/>
  <c r="F381" i="8"/>
  <c r="B382" i="8"/>
  <c r="C382" i="8"/>
  <c r="D382" i="8"/>
  <c r="E382" i="8"/>
  <c r="F382" i="8"/>
  <c r="B383" i="8"/>
  <c r="C383" i="8"/>
  <c r="D383" i="8"/>
  <c r="E383" i="8"/>
  <c r="F383" i="8"/>
  <c r="B384" i="8"/>
  <c r="C384" i="8"/>
  <c r="D384" i="8"/>
  <c r="E384" i="8"/>
  <c r="F384" i="8"/>
  <c r="B385" i="8"/>
  <c r="C385" i="8"/>
  <c r="D385" i="8"/>
  <c r="E385" i="8"/>
  <c r="F385" i="8"/>
  <c r="B386" i="8"/>
  <c r="C386" i="8"/>
  <c r="D386" i="8"/>
  <c r="E386" i="8"/>
  <c r="F386" i="8"/>
  <c r="B387" i="8"/>
  <c r="C387" i="8"/>
  <c r="D387" i="8"/>
  <c r="E387" i="8"/>
  <c r="F387" i="8"/>
  <c r="B388" i="8"/>
  <c r="C388" i="8"/>
  <c r="D388" i="8"/>
  <c r="E388" i="8"/>
  <c r="F388" i="8"/>
  <c r="B389" i="8"/>
  <c r="C389" i="8"/>
  <c r="D389" i="8"/>
  <c r="E389" i="8"/>
  <c r="F389" i="8"/>
  <c r="B390" i="8"/>
  <c r="C390" i="8"/>
  <c r="D390" i="8"/>
  <c r="E390" i="8"/>
  <c r="F390" i="8"/>
  <c r="B391" i="8"/>
  <c r="C391" i="8"/>
  <c r="D391" i="8"/>
  <c r="E391" i="8"/>
  <c r="F391" i="8"/>
  <c r="B392" i="8"/>
  <c r="C392" i="8"/>
  <c r="D392" i="8"/>
  <c r="E392" i="8"/>
  <c r="F392" i="8"/>
  <c r="B393" i="8"/>
  <c r="C393" i="8"/>
  <c r="D393" i="8"/>
  <c r="E393" i="8"/>
  <c r="F393" i="8"/>
  <c r="B394" i="8"/>
  <c r="C394" i="8"/>
  <c r="D394" i="8"/>
  <c r="E394" i="8"/>
  <c r="F394" i="8"/>
  <c r="B395" i="8"/>
  <c r="C395" i="8"/>
  <c r="D395" i="8"/>
  <c r="E395" i="8"/>
  <c r="F395" i="8"/>
  <c r="B396" i="8"/>
  <c r="C396" i="8"/>
  <c r="D396" i="8"/>
  <c r="E396" i="8"/>
  <c r="F396" i="8"/>
  <c r="B397" i="8"/>
  <c r="C397" i="8"/>
  <c r="D397" i="8"/>
  <c r="E397" i="8"/>
  <c r="F397" i="8"/>
  <c r="B398" i="8"/>
  <c r="C398" i="8"/>
  <c r="D398" i="8"/>
  <c r="E398" i="8"/>
  <c r="F398" i="8"/>
  <c r="B399" i="8"/>
  <c r="C399" i="8"/>
  <c r="D399" i="8"/>
  <c r="E399" i="8"/>
  <c r="F399" i="8"/>
  <c r="B400" i="8"/>
  <c r="C400" i="8"/>
  <c r="D400" i="8"/>
  <c r="E400" i="8"/>
  <c r="F400" i="8"/>
  <c r="B401" i="8"/>
  <c r="C401" i="8"/>
  <c r="D401" i="8"/>
  <c r="E401" i="8"/>
  <c r="F401" i="8"/>
  <c r="B402" i="8"/>
  <c r="C402" i="8"/>
  <c r="D402" i="8"/>
  <c r="E402" i="8"/>
  <c r="F402" i="8"/>
  <c r="B403" i="8"/>
  <c r="C403" i="8"/>
  <c r="D403" i="8"/>
  <c r="E403" i="8"/>
  <c r="F403" i="8"/>
  <c r="B404" i="8"/>
  <c r="C404" i="8"/>
  <c r="D404" i="8"/>
  <c r="E404" i="8"/>
  <c r="F404" i="8"/>
  <c r="B405" i="8"/>
  <c r="C405" i="8"/>
  <c r="D405" i="8"/>
  <c r="E405" i="8"/>
  <c r="F405" i="8"/>
  <c r="B406" i="8"/>
  <c r="C406" i="8"/>
  <c r="D406" i="8"/>
  <c r="E406" i="8"/>
  <c r="F406" i="8"/>
  <c r="B407" i="8"/>
  <c r="C407" i="8"/>
  <c r="D407" i="8"/>
  <c r="E407" i="8"/>
  <c r="F407" i="8"/>
  <c r="B408" i="8"/>
  <c r="C408" i="8"/>
  <c r="D408" i="8"/>
  <c r="E408" i="8"/>
  <c r="F408" i="8"/>
  <c r="B409" i="8"/>
  <c r="C409" i="8"/>
  <c r="D409" i="8"/>
  <c r="E409" i="8"/>
  <c r="F409" i="8"/>
  <c r="B410" i="8"/>
  <c r="C410" i="8"/>
  <c r="D410" i="8"/>
  <c r="E410" i="8"/>
  <c r="F410" i="8"/>
  <c r="B411" i="8"/>
  <c r="C411" i="8"/>
  <c r="D411" i="8"/>
  <c r="E411" i="8"/>
  <c r="F411" i="8"/>
  <c r="B412" i="8"/>
  <c r="C412" i="8"/>
  <c r="D412" i="8"/>
  <c r="E412" i="8"/>
  <c r="F412" i="8"/>
  <c r="B413" i="8"/>
  <c r="C413" i="8"/>
  <c r="D413" i="8"/>
  <c r="E413" i="8"/>
  <c r="F413" i="8"/>
  <c r="B414" i="8"/>
  <c r="C414" i="8"/>
  <c r="D414" i="8"/>
  <c r="E414" i="8"/>
  <c r="F414" i="8"/>
  <c r="B415" i="8"/>
  <c r="C415" i="8"/>
  <c r="D415" i="8"/>
  <c r="E415" i="8"/>
  <c r="F415" i="8"/>
  <c r="B416" i="8"/>
  <c r="C416" i="8"/>
  <c r="D416" i="8"/>
  <c r="E416" i="8"/>
  <c r="F416" i="8"/>
  <c r="B417" i="8"/>
  <c r="C417" i="8"/>
  <c r="D417" i="8"/>
  <c r="E417" i="8"/>
  <c r="F417" i="8"/>
  <c r="B418" i="8"/>
  <c r="C418" i="8"/>
  <c r="D418" i="8"/>
  <c r="E418" i="8"/>
  <c r="F418" i="8"/>
  <c r="B419" i="8"/>
  <c r="C419" i="8"/>
  <c r="D419" i="8"/>
  <c r="E419" i="8"/>
  <c r="F419" i="8"/>
  <c r="B420" i="8"/>
  <c r="C420" i="8"/>
  <c r="D420" i="8"/>
  <c r="E420" i="8"/>
  <c r="F420" i="8"/>
  <c r="B421" i="8"/>
  <c r="C421" i="8"/>
  <c r="D421" i="8"/>
  <c r="E421" i="8"/>
  <c r="F421" i="8"/>
  <c r="B422" i="8"/>
  <c r="C422" i="8"/>
  <c r="D422" i="8"/>
  <c r="E422" i="8"/>
  <c r="F422" i="8"/>
  <c r="B423" i="8"/>
  <c r="C423" i="8"/>
  <c r="D423" i="8"/>
  <c r="E423" i="8"/>
  <c r="F423" i="8"/>
  <c r="B424" i="8"/>
  <c r="C424" i="8"/>
  <c r="D424" i="8"/>
  <c r="E424" i="8"/>
  <c r="F424" i="8"/>
  <c r="B425" i="8"/>
  <c r="C425" i="8"/>
  <c r="D425" i="8"/>
  <c r="E425" i="8"/>
  <c r="F425" i="8"/>
  <c r="B426" i="8"/>
  <c r="C426" i="8"/>
  <c r="D426" i="8"/>
  <c r="E426" i="8"/>
  <c r="F426" i="8"/>
  <c r="B427" i="8"/>
  <c r="C427" i="8"/>
  <c r="D427" i="8"/>
  <c r="E427" i="8"/>
  <c r="F427" i="8"/>
  <c r="B428" i="8"/>
  <c r="C428" i="8"/>
  <c r="D428" i="8"/>
  <c r="E428" i="8"/>
  <c r="F428" i="8"/>
  <c r="B429" i="8"/>
  <c r="C429" i="8"/>
  <c r="D429" i="8"/>
  <c r="E429" i="8"/>
  <c r="F429" i="8"/>
  <c r="B430" i="8"/>
  <c r="C430" i="8"/>
  <c r="D430" i="8"/>
  <c r="E430" i="8"/>
  <c r="F430" i="8"/>
  <c r="B431" i="8"/>
  <c r="C431" i="8"/>
  <c r="D431" i="8"/>
  <c r="E431" i="8"/>
  <c r="F431" i="8"/>
  <c r="B432" i="8"/>
  <c r="C432" i="8"/>
  <c r="D432" i="8"/>
  <c r="E432" i="8"/>
  <c r="F432" i="8"/>
  <c r="B433" i="8"/>
  <c r="C433" i="8"/>
  <c r="D433" i="8"/>
  <c r="E433" i="8"/>
  <c r="F433" i="8"/>
  <c r="B434" i="8"/>
  <c r="C434" i="8"/>
  <c r="D434" i="8"/>
  <c r="E434" i="8"/>
  <c r="F434" i="8"/>
  <c r="B435" i="8"/>
  <c r="C435" i="8"/>
  <c r="D435" i="8"/>
  <c r="E435" i="8"/>
  <c r="F435" i="8"/>
  <c r="B436" i="8"/>
  <c r="C436" i="8"/>
  <c r="D436" i="8"/>
  <c r="E436" i="8"/>
  <c r="F436" i="8"/>
  <c r="B437" i="8"/>
  <c r="C437" i="8"/>
  <c r="D437" i="8"/>
  <c r="E437" i="8"/>
  <c r="F437" i="8"/>
  <c r="B438" i="8"/>
  <c r="C438" i="8"/>
  <c r="D438" i="8"/>
  <c r="E438" i="8"/>
  <c r="F438" i="8"/>
  <c r="B439" i="8"/>
  <c r="C439" i="8"/>
  <c r="D439" i="8"/>
  <c r="E439" i="8"/>
  <c r="F439" i="8"/>
  <c r="B440" i="8"/>
  <c r="C440" i="8"/>
  <c r="D440" i="8"/>
  <c r="E440" i="8"/>
  <c r="F440" i="8"/>
  <c r="B441" i="8"/>
  <c r="C441" i="8"/>
  <c r="D441" i="8"/>
  <c r="E441" i="8"/>
  <c r="F441" i="8"/>
  <c r="B442" i="8"/>
  <c r="C442" i="8"/>
  <c r="D442" i="8"/>
  <c r="E442" i="8"/>
  <c r="F442" i="8"/>
  <c r="B443" i="8"/>
  <c r="C443" i="8"/>
  <c r="D443" i="8"/>
  <c r="E443" i="8"/>
  <c r="F443" i="8"/>
  <c r="B444" i="8"/>
  <c r="C444" i="8"/>
  <c r="D444" i="8"/>
  <c r="E444" i="8"/>
  <c r="F444" i="8"/>
  <c r="B445" i="8"/>
  <c r="C445" i="8"/>
  <c r="D445" i="8"/>
  <c r="E445" i="8"/>
  <c r="F445" i="8"/>
  <c r="B446" i="8"/>
  <c r="C446" i="8"/>
  <c r="D446" i="8"/>
  <c r="E446" i="8"/>
  <c r="F446" i="8"/>
  <c r="B447" i="8"/>
  <c r="C447" i="8"/>
  <c r="D447" i="8"/>
  <c r="E447" i="8"/>
  <c r="F447" i="8"/>
  <c r="B448" i="8"/>
  <c r="C448" i="8"/>
  <c r="D448" i="8"/>
  <c r="E448" i="8"/>
  <c r="F448" i="8"/>
  <c r="B449" i="8"/>
  <c r="C449" i="8"/>
  <c r="D449" i="8"/>
  <c r="E449" i="8"/>
  <c r="F449" i="8"/>
  <c r="B450" i="8"/>
  <c r="C450" i="8"/>
  <c r="D450" i="8"/>
  <c r="E450" i="8"/>
  <c r="F450" i="8"/>
  <c r="B451" i="8"/>
  <c r="C451" i="8"/>
  <c r="D451" i="8"/>
  <c r="E451" i="8"/>
  <c r="F451" i="8"/>
  <c r="B452" i="8"/>
  <c r="C452" i="8"/>
  <c r="D452" i="8"/>
  <c r="E452" i="8"/>
  <c r="F452" i="8"/>
  <c r="B453" i="8"/>
  <c r="C453" i="8"/>
  <c r="D453" i="8"/>
  <c r="E453" i="8"/>
  <c r="F453" i="8"/>
  <c r="B454" i="8"/>
  <c r="C454" i="8"/>
  <c r="D454" i="8"/>
  <c r="E454" i="8"/>
  <c r="F454" i="8"/>
  <c r="B455" i="8"/>
  <c r="C455" i="8"/>
  <c r="D455" i="8"/>
  <c r="E455" i="8"/>
  <c r="F455" i="8"/>
  <c r="B456" i="8"/>
  <c r="C456" i="8"/>
  <c r="D456" i="8"/>
  <c r="E456" i="8"/>
  <c r="F456" i="8"/>
  <c r="B457" i="8"/>
  <c r="C457" i="8"/>
  <c r="D457" i="8"/>
  <c r="E457" i="8"/>
  <c r="F457" i="8"/>
  <c r="B458" i="8"/>
  <c r="C458" i="8"/>
  <c r="D458" i="8"/>
  <c r="E458" i="8"/>
  <c r="F458" i="8"/>
  <c r="B459" i="8"/>
  <c r="C459" i="8"/>
  <c r="D459" i="8"/>
  <c r="E459" i="8"/>
  <c r="F459" i="8"/>
  <c r="B460" i="8"/>
  <c r="C460" i="8"/>
  <c r="D460" i="8"/>
  <c r="E460" i="8"/>
  <c r="F460" i="8"/>
  <c r="B461" i="8"/>
  <c r="C461" i="8"/>
  <c r="D461" i="8"/>
  <c r="E461" i="8"/>
  <c r="F461" i="8"/>
  <c r="B462" i="8"/>
  <c r="C462" i="8"/>
  <c r="D462" i="8"/>
  <c r="E462" i="8"/>
  <c r="F462" i="8"/>
  <c r="B463" i="8"/>
  <c r="C463" i="8"/>
  <c r="D463" i="8"/>
  <c r="E463" i="8"/>
  <c r="F463" i="8"/>
  <c r="B464" i="8"/>
  <c r="C464" i="8"/>
  <c r="D464" i="8"/>
  <c r="E464" i="8"/>
  <c r="F464" i="8"/>
  <c r="B465" i="8"/>
  <c r="C465" i="8"/>
  <c r="D465" i="8"/>
  <c r="E465" i="8"/>
  <c r="F465" i="8"/>
  <c r="B466" i="8"/>
  <c r="C466" i="8"/>
  <c r="D466" i="8"/>
  <c r="E466" i="8"/>
  <c r="F466" i="8"/>
  <c r="B467" i="8"/>
  <c r="C467" i="8"/>
  <c r="D467" i="8"/>
  <c r="E467" i="8"/>
  <c r="F467" i="8"/>
  <c r="B468" i="8"/>
  <c r="C468" i="8"/>
  <c r="D468" i="8"/>
  <c r="E468" i="8"/>
  <c r="F468" i="8"/>
  <c r="B469" i="8"/>
  <c r="C469" i="8"/>
  <c r="D469" i="8"/>
  <c r="E469" i="8"/>
  <c r="F469" i="8"/>
  <c r="B470" i="8"/>
  <c r="C470" i="8"/>
  <c r="D470" i="8"/>
  <c r="E470" i="8"/>
  <c r="F470" i="8"/>
  <c r="B471" i="8"/>
  <c r="C471" i="8"/>
  <c r="D471" i="8"/>
  <c r="E471" i="8"/>
  <c r="F471" i="8"/>
  <c r="B472" i="8"/>
  <c r="C472" i="8"/>
  <c r="D472" i="8"/>
  <c r="E472" i="8"/>
  <c r="F472" i="8"/>
  <c r="B473" i="8"/>
  <c r="C473" i="8"/>
  <c r="D473" i="8"/>
  <c r="E473" i="8"/>
  <c r="F473" i="8"/>
  <c r="B474" i="8"/>
  <c r="C474" i="8"/>
  <c r="D474" i="8"/>
  <c r="E474" i="8"/>
  <c r="F474" i="8"/>
  <c r="B475" i="8"/>
  <c r="C475" i="8"/>
  <c r="D475" i="8"/>
  <c r="E475" i="8"/>
  <c r="F475" i="8"/>
  <c r="B476" i="8"/>
  <c r="C476" i="8"/>
  <c r="D476" i="8"/>
  <c r="E476" i="8"/>
  <c r="F476" i="8"/>
  <c r="B477" i="8"/>
  <c r="C477" i="8"/>
  <c r="D477" i="8"/>
  <c r="E477" i="8"/>
  <c r="F477" i="8"/>
  <c r="B478" i="8"/>
  <c r="C478" i="8"/>
  <c r="D478" i="8"/>
  <c r="E478" i="8"/>
  <c r="F478" i="8"/>
  <c r="B479" i="8"/>
  <c r="C479" i="8"/>
  <c r="D479" i="8"/>
  <c r="E479" i="8"/>
  <c r="F479" i="8"/>
  <c r="B480" i="8"/>
  <c r="C480" i="8"/>
  <c r="D480" i="8"/>
  <c r="E480" i="8"/>
  <c r="F480" i="8"/>
  <c r="B481" i="8"/>
  <c r="C481" i="8"/>
  <c r="D481" i="8"/>
  <c r="E481" i="8"/>
  <c r="F481" i="8"/>
  <c r="B482" i="8"/>
  <c r="C482" i="8"/>
  <c r="D482" i="8"/>
  <c r="E482" i="8"/>
  <c r="F482" i="8"/>
  <c r="B483" i="8"/>
  <c r="C483" i="8"/>
  <c r="D483" i="8"/>
  <c r="E483" i="8"/>
  <c r="F483" i="8"/>
  <c r="B484" i="8"/>
  <c r="C484" i="8"/>
  <c r="D484" i="8"/>
  <c r="E484" i="8"/>
  <c r="F484" i="8"/>
  <c r="B485" i="8"/>
  <c r="C485" i="8"/>
  <c r="D485" i="8"/>
  <c r="E485" i="8"/>
  <c r="F485" i="8"/>
  <c r="B486" i="8"/>
  <c r="C486" i="8"/>
  <c r="D486" i="8"/>
  <c r="E486" i="8"/>
  <c r="F486" i="8"/>
  <c r="B487" i="8"/>
  <c r="C487" i="8"/>
  <c r="D487" i="8"/>
  <c r="E487" i="8"/>
  <c r="F487" i="8"/>
  <c r="B488" i="8"/>
  <c r="C488" i="8"/>
  <c r="D488" i="8"/>
  <c r="E488" i="8"/>
  <c r="F488" i="8"/>
  <c r="B489" i="8"/>
  <c r="C489" i="8"/>
  <c r="D489" i="8"/>
  <c r="E489" i="8"/>
  <c r="F489" i="8"/>
  <c r="B490" i="8"/>
  <c r="C490" i="8"/>
  <c r="D490" i="8"/>
  <c r="E490" i="8"/>
  <c r="F490" i="8"/>
  <c r="B491" i="8"/>
  <c r="C491" i="8"/>
  <c r="D491" i="8"/>
  <c r="E491" i="8"/>
  <c r="F491" i="8"/>
  <c r="B492" i="8"/>
  <c r="C492" i="8"/>
  <c r="D492" i="8"/>
  <c r="E492" i="8"/>
  <c r="F492" i="8"/>
  <c r="B493" i="8"/>
  <c r="C493" i="8"/>
  <c r="D493" i="8"/>
  <c r="E493" i="8"/>
  <c r="F493" i="8"/>
  <c r="B494" i="8"/>
  <c r="C494" i="8"/>
  <c r="D494" i="8"/>
  <c r="E494" i="8"/>
  <c r="F494" i="8"/>
  <c r="B495" i="8"/>
  <c r="C495" i="8"/>
  <c r="D495" i="8"/>
  <c r="E495" i="8"/>
  <c r="F495" i="8"/>
  <c r="B496" i="8"/>
  <c r="C496" i="8"/>
  <c r="D496" i="8"/>
  <c r="E496" i="8"/>
  <c r="F496" i="8"/>
  <c r="B497" i="8"/>
  <c r="C497" i="8"/>
  <c r="D497" i="8"/>
  <c r="E497" i="8"/>
  <c r="F497" i="8"/>
  <c r="B498" i="8"/>
  <c r="C498" i="8"/>
  <c r="D498" i="8"/>
  <c r="E498" i="8"/>
  <c r="F498" i="8"/>
  <c r="B499" i="8"/>
  <c r="C499" i="8"/>
  <c r="D499" i="8"/>
  <c r="E499" i="8"/>
  <c r="F499" i="8"/>
  <c r="B500" i="8"/>
  <c r="C500" i="8"/>
  <c r="D500" i="8"/>
  <c r="E500" i="8"/>
  <c r="F500" i="8"/>
  <c r="B501" i="8"/>
  <c r="C501" i="8"/>
  <c r="D501" i="8"/>
  <c r="E501" i="8"/>
  <c r="F501" i="8"/>
  <c r="B502" i="8"/>
  <c r="C502" i="8"/>
  <c r="D502" i="8"/>
  <c r="E502" i="8"/>
  <c r="F502" i="8"/>
  <c r="B503" i="8"/>
  <c r="C503" i="8"/>
  <c r="D503" i="8"/>
  <c r="E503" i="8"/>
  <c r="F503" i="8"/>
  <c r="B504" i="8"/>
  <c r="C504" i="8"/>
  <c r="D504" i="8"/>
  <c r="E504" i="8"/>
  <c r="F504" i="8"/>
  <c r="B505" i="8"/>
  <c r="C505" i="8"/>
  <c r="D505" i="8"/>
  <c r="E505" i="8"/>
  <c r="F505" i="8"/>
  <c r="B506" i="8"/>
  <c r="C506" i="8"/>
  <c r="D506" i="8"/>
  <c r="E506" i="8"/>
  <c r="F506" i="8"/>
  <c r="F9" i="8"/>
  <c r="E9" i="8"/>
  <c r="D9" i="8"/>
  <c r="C9" i="8"/>
  <c r="B9" i="8"/>
  <c r="C5" i="1" l="1"/>
  <c r="B66" i="2" l="1"/>
  <c r="B58" i="2"/>
  <c r="B48" i="2"/>
  <c r="F66" i="2"/>
  <c r="C5" i="8" l="1"/>
  <c r="C4" i="8"/>
  <c r="C3" i="8"/>
  <c r="C4" i="1"/>
  <c r="C3" i="1"/>
  <c r="C23" i="2" l="1"/>
  <c r="C22" i="2"/>
  <c r="C21" i="2"/>
  <c r="C20" i="2"/>
  <c r="C19" i="2"/>
  <c r="C18" i="2"/>
  <c r="C24" i="2" l="1"/>
  <c r="C25" i="2" s="1"/>
  <c r="C26" i="2" s="1" a="1"/>
  <c r="C26" i="2" s="1"/>
  <c r="J36" i="2" l="1"/>
  <c r="J35" i="2"/>
  <c r="J34" i="2"/>
  <c r="J33" i="2"/>
  <c r="J32" i="2"/>
  <c r="J31" i="2"/>
  <c r="I36" i="2"/>
  <c r="I35" i="2"/>
  <c r="I34" i="2"/>
  <c r="I33" i="2"/>
  <c r="I32" i="2"/>
  <c r="I31" i="2"/>
  <c r="H36" i="2"/>
  <c r="H35" i="2"/>
  <c r="H34" i="2"/>
  <c r="H33" i="2"/>
  <c r="H32" i="2"/>
  <c r="H31" i="2"/>
  <c r="G36" i="2"/>
  <c r="G35" i="2"/>
  <c r="G34" i="2"/>
  <c r="G33" i="2"/>
  <c r="G32" i="2"/>
  <c r="G31" i="2"/>
  <c r="F36" i="2"/>
  <c r="F35" i="2"/>
  <c r="F34" i="2"/>
  <c r="F33" i="2"/>
  <c r="F32" i="2"/>
  <c r="F31" i="2"/>
  <c r="E36" i="2"/>
  <c r="E35" i="2"/>
  <c r="E34" i="2"/>
  <c r="E33" i="2"/>
  <c r="E32" i="2"/>
  <c r="E31" i="2"/>
  <c r="D36" i="2"/>
  <c r="D35" i="2"/>
  <c r="D34" i="2"/>
  <c r="D33" i="2"/>
  <c r="D32" i="2"/>
  <c r="D31" i="2"/>
  <c r="C36" i="2" l="1"/>
  <c r="B36" i="2" s="1"/>
  <c r="C35" i="2"/>
  <c r="B35" i="2" s="1"/>
  <c r="C34" i="2"/>
  <c r="B34" i="2" s="1"/>
  <c r="C33" i="2"/>
  <c r="B33" i="2" s="1"/>
  <c r="C32" i="2"/>
  <c r="B32" i="2" s="1"/>
  <c r="C31" i="2"/>
  <c r="B31" i="2" l="1"/>
  <c r="C37" i="2"/>
  <c r="C38" i="2" s="1"/>
  <c r="F37" i="2"/>
  <c r="D37" i="2"/>
  <c r="E37" i="2"/>
  <c r="G37" i="2"/>
  <c r="H37" i="2"/>
  <c r="I37" i="2"/>
  <c r="J37" i="2"/>
  <c r="F65" i="2"/>
  <c r="B65" i="2"/>
  <c r="F64" i="2"/>
  <c r="B64" i="2"/>
  <c r="F63" i="2"/>
  <c r="B63" i="2"/>
  <c r="F58" i="2"/>
  <c r="F57" i="2"/>
  <c r="B57" i="2"/>
  <c r="F56" i="2"/>
  <c r="B56" i="2"/>
  <c r="F55" i="2"/>
  <c r="B55" i="2"/>
  <c r="F54" i="2"/>
  <c r="B54" i="2"/>
  <c r="F53" i="2"/>
  <c r="B53" i="2"/>
  <c r="B47" i="2"/>
  <c r="F46" i="2"/>
  <c r="B46" i="2"/>
  <c r="F45" i="2"/>
  <c r="B45" i="2"/>
  <c r="F44" i="2"/>
  <c r="B44" i="2"/>
  <c r="K23" i="2"/>
  <c r="J23" i="2"/>
  <c r="I23" i="2"/>
  <c r="H23" i="2"/>
  <c r="G23" i="2"/>
  <c r="F23" i="2"/>
  <c r="E23" i="2"/>
  <c r="D23" i="2"/>
  <c r="K22" i="2"/>
  <c r="J22" i="2"/>
  <c r="I22" i="2"/>
  <c r="H22" i="2"/>
  <c r="G22" i="2"/>
  <c r="F22" i="2"/>
  <c r="E22" i="2"/>
  <c r="D22" i="2"/>
  <c r="K21" i="2"/>
  <c r="J21" i="2"/>
  <c r="I21" i="2"/>
  <c r="H21" i="2"/>
  <c r="G21" i="2"/>
  <c r="F21" i="2"/>
  <c r="E21" i="2"/>
  <c r="D21" i="2"/>
  <c r="K20" i="2"/>
  <c r="J20" i="2"/>
  <c r="I20" i="2"/>
  <c r="H20" i="2"/>
  <c r="G20" i="2"/>
  <c r="F20" i="2"/>
  <c r="E20" i="2"/>
  <c r="D20" i="2"/>
  <c r="K19" i="2"/>
  <c r="J19" i="2"/>
  <c r="I19" i="2"/>
  <c r="H19" i="2"/>
  <c r="G19" i="2"/>
  <c r="F19" i="2"/>
  <c r="E19" i="2"/>
  <c r="D19" i="2"/>
  <c r="K18" i="2"/>
  <c r="J18" i="2"/>
  <c r="I18" i="2"/>
  <c r="H18" i="2"/>
  <c r="G18" i="2"/>
  <c r="F18" i="2"/>
  <c r="E18" i="2"/>
  <c r="D18" i="2"/>
  <c r="J38" i="2" l="1"/>
  <c r="J39" i="2" s="1" a="1"/>
  <c r="J39" i="2" s="1"/>
  <c r="E38" i="2"/>
  <c r="E39" i="2" s="1" a="1"/>
  <c r="E39" i="2" s="1"/>
  <c r="I38" i="2"/>
  <c r="I39" i="2" s="1" a="1"/>
  <c r="I39" i="2" s="1"/>
  <c r="D38" i="2"/>
  <c r="D39" i="2" s="1" a="1"/>
  <c r="D39" i="2" s="1"/>
  <c r="H38" i="2"/>
  <c r="H39" i="2" s="1" a="1"/>
  <c r="H39" i="2" s="1"/>
  <c r="G38" i="2"/>
  <c r="G39" i="2" s="1" a="1"/>
  <c r="G39" i="2" s="1"/>
  <c r="F38" i="2"/>
  <c r="F39" i="2" s="1" a="1"/>
  <c r="F39" i="2" s="1"/>
  <c r="F67" i="2"/>
  <c r="G66" i="2" s="1"/>
  <c r="B67" i="2"/>
  <c r="C66" i="2" s="1"/>
  <c r="B49" i="2"/>
  <c r="B59" i="2"/>
  <c r="C58" i="2" s="1"/>
  <c r="C64" i="2"/>
  <c r="C65" i="2"/>
  <c r="B37" i="2"/>
  <c r="B38" i="2" s="1"/>
  <c r="B39" i="2" s="1" a="1"/>
  <c r="B39" i="2" s="1"/>
  <c r="B18" i="2"/>
  <c r="B20" i="2"/>
  <c r="B23" i="2"/>
  <c r="B19" i="2"/>
  <c r="B22" i="2"/>
  <c r="B21" i="2"/>
  <c r="K24" i="2"/>
  <c r="K25" i="2" s="1"/>
  <c r="K26" i="2" s="1" a="1"/>
  <c r="K26" i="2" s="1"/>
  <c r="C39" i="2" a="1"/>
  <c r="C39" i="2" s="1"/>
  <c r="D24" i="2"/>
  <c r="D25" i="2" s="1"/>
  <c r="D26" i="2" s="1" a="1"/>
  <c r="D26" i="2" s="1"/>
  <c r="E24" i="2"/>
  <c r="E25" i="2" s="1"/>
  <c r="E26" i="2" s="1" a="1"/>
  <c r="E26" i="2" s="1"/>
  <c r="F24" i="2"/>
  <c r="F25" i="2" s="1"/>
  <c r="F26" i="2" s="1" a="1"/>
  <c r="F26" i="2" s="1"/>
  <c r="G63" i="2"/>
  <c r="C47" i="2"/>
  <c r="G24" i="2"/>
  <c r="G25" i="2" s="1"/>
  <c r="G26" i="2" s="1" a="1"/>
  <c r="G26" i="2" s="1"/>
  <c r="F47" i="2"/>
  <c r="H24" i="2"/>
  <c r="H25" i="2" s="1"/>
  <c r="H26" i="2" s="1" a="1"/>
  <c r="H26" i="2" s="1"/>
  <c r="I24" i="2"/>
  <c r="I25" i="2" s="1"/>
  <c r="I26" i="2" s="1" a="1"/>
  <c r="I26" i="2" s="1"/>
  <c r="F59" i="2"/>
  <c r="G58" i="2" s="1"/>
  <c r="J24" i="2"/>
  <c r="J25" i="2" s="1"/>
  <c r="J26" i="2" s="1" a="1"/>
  <c r="J26" i="2" s="1"/>
  <c r="C53" i="2" l="1"/>
  <c r="C48" i="2"/>
  <c r="G46" i="2"/>
  <c r="I10" i="2"/>
  <c r="C45" i="2"/>
  <c r="C44" i="2"/>
  <c r="C46" i="2"/>
  <c r="G55" i="2"/>
  <c r="G65" i="2"/>
  <c r="G64" i="2"/>
  <c r="G57" i="2"/>
  <c r="B24" i="2"/>
  <c r="G56" i="2"/>
  <c r="G54" i="2"/>
  <c r="G53" i="2"/>
  <c r="G44" i="2"/>
  <c r="G45" i="2"/>
  <c r="B25" i="2" l="1"/>
  <c r="J44" i="2"/>
  <c r="G67" i="2"/>
  <c r="C49" i="2"/>
  <c r="J46" i="2"/>
  <c r="J45" i="2"/>
  <c r="J48" i="2"/>
  <c r="J47" i="2"/>
  <c r="B26" i="2" a="1"/>
  <c r="B26" i="2" s="1"/>
  <c r="G47" i="2"/>
  <c r="G59" i="2"/>
  <c r="I12" i="2"/>
  <c r="K44" i="2" l="1"/>
  <c r="J49" i="2"/>
  <c r="J50" i="2" s="1" a="1"/>
  <c r="J50" i="2" s="1"/>
  <c r="I13" i="2"/>
  <c r="I14" i="2" s="1" a="1"/>
  <c r="I14" i="2" s="1"/>
  <c r="C57" i="2"/>
  <c r="C55" i="2"/>
  <c r="C56" i="2"/>
  <c r="C54" i="2"/>
  <c r="C59" i="2" s="1"/>
  <c r="C63" i="2"/>
  <c r="C6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C3" authorId="0" shapeId="0" xr:uid="{73654398-37ED-45A9-AA6D-A26CBCCC19DD}">
      <text>
        <r>
          <rPr>
            <b/>
            <sz val="9"/>
            <color indexed="81"/>
            <rFont val="Tahoma"/>
            <family val="2"/>
          </rPr>
          <t>ACER:</t>
        </r>
        <r>
          <rPr>
            <sz val="9"/>
            <color indexed="81"/>
            <rFont val="Tahoma"/>
            <family val="2"/>
          </rPr>
          <t xml:space="preserve">
Cell formula. Automatically update text from the Report Sheet.</t>
        </r>
      </text>
    </comment>
    <comment ref="C4" authorId="0" shapeId="0" xr:uid="{B5504C24-682D-46D8-A598-0C5E4193EB0D}">
      <text>
        <r>
          <rPr>
            <b/>
            <sz val="9"/>
            <color indexed="81"/>
            <rFont val="Tahoma"/>
            <family val="2"/>
          </rPr>
          <t>ACER:</t>
        </r>
        <r>
          <rPr>
            <sz val="9"/>
            <color indexed="81"/>
            <rFont val="Tahoma"/>
            <family val="2"/>
          </rPr>
          <t xml:space="preserve">
Cell formula. Automatically update text from the Report Sheet.</t>
        </r>
      </text>
    </comment>
    <comment ref="C5" authorId="0" shapeId="0" xr:uid="{2D88BEE8-52BE-43B9-903C-AC73E576B4FD}">
      <text>
        <r>
          <rPr>
            <b/>
            <sz val="9"/>
            <color indexed="81"/>
            <rFont val="Tahoma"/>
            <family val="2"/>
          </rPr>
          <t>ACER:</t>
        </r>
        <r>
          <rPr>
            <sz val="9"/>
            <color indexed="81"/>
            <rFont val="Tahoma"/>
            <family val="2"/>
          </rPr>
          <t xml:space="preserve">
Cell formula. Automatically update text from the Report Sheet.</t>
        </r>
      </text>
    </comment>
    <comment ref="G8" authorId="0" shapeId="0" xr:uid="{824C9E9B-553E-4E78-8F98-C9BEF6346292}">
      <text>
        <r>
          <rPr>
            <b/>
            <sz val="9"/>
            <color indexed="81"/>
            <rFont val="Tahoma"/>
            <family val="2"/>
          </rPr>
          <t>CC1 - Awareness of the Citizen's Charter
Instruction</t>
        </r>
        <r>
          <rPr>
            <sz val="9"/>
            <color indexed="81"/>
            <rFont val="Tahoma"/>
            <family val="2"/>
          </rPr>
          <t xml:space="preserve"> - Encode CSF response using below numeric values:
1 - I know what a CC is and I saw this office’s CC.
2 - I know what a CC is but I did NOT see this office’s CC.
3 - I learned of the CC only when I saw this office’s CC.
4 - I do not know what a CC is and I did not see one in this office.
[-] - Not Applicable</t>
        </r>
      </text>
    </comment>
    <comment ref="H8" authorId="0" shapeId="0" xr:uid="{99C966C0-7997-4490-BBB2-8D48F45FF6DC}">
      <text>
        <r>
          <rPr>
            <b/>
            <sz val="9"/>
            <color indexed="81"/>
            <rFont val="Tahoma"/>
            <family val="2"/>
          </rPr>
          <t xml:space="preserve">ACER:
CC2 - Visibility of the Citizen's Charter
Instruction - </t>
        </r>
        <r>
          <rPr>
            <sz val="9"/>
            <color indexed="81"/>
            <rFont val="Tahoma"/>
            <family val="2"/>
          </rPr>
          <t>Encode CSF response using below numeric values:</t>
        </r>
        <r>
          <rPr>
            <b/>
            <sz val="9"/>
            <color indexed="81"/>
            <rFont val="Tahoma"/>
            <family val="2"/>
          </rPr>
          <t xml:space="preserve">
</t>
        </r>
        <r>
          <rPr>
            <sz val="9"/>
            <color indexed="81"/>
            <rFont val="Tahoma"/>
            <family val="2"/>
          </rPr>
          <t>1 - Easy to see
2 - Somewhat easy to see
3 - Difficult to see
4 - Not visible
[-] - Not Applicable</t>
        </r>
      </text>
    </comment>
    <comment ref="I8" authorId="0" shapeId="0" xr:uid="{E5C461B4-F233-4330-B85D-B81D5D0DEACA}">
      <text>
        <r>
          <rPr>
            <b/>
            <sz val="9"/>
            <color indexed="81"/>
            <rFont val="Tahoma"/>
            <family val="2"/>
          </rPr>
          <t>ACER:</t>
        </r>
        <r>
          <rPr>
            <sz val="9"/>
            <color indexed="81"/>
            <rFont val="Tahoma"/>
            <family val="2"/>
          </rPr>
          <t xml:space="preserve">
</t>
        </r>
        <r>
          <rPr>
            <b/>
            <sz val="9"/>
            <color indexed="81"/>
            <rFont val="Tahoma"/>
            <family val="2"/>
          </rPr>
          <t xml:space="preserve">CC3 - Usefulness of the Citizen's Charter
Instruction - </t>
        </r>
        <r>
          <rPr>
            <sz val="9"/>
            <color indexed="81"/>
            <rFont val="Tahoma"/>
            <family val="2"/>
          </rPr>
          <t>Encode CSF response using below numeric values::</t>
        </r>
        <r>
          <rPr>
            <b/>
            <sz val="9"/>
            <color indexed="81"/>
            <rFont val="Tahoma"/>
            <family val="2"/>
          </rPr>
          <t xml:space="preserve">
</t>
        </r>
        <r>
          <rPr>
            <sz val="9"/>
            <color indexed="81"/>
            <rFont val="Tahoma"/>
            <family val="2"/>
          </rPr>
          <t>1 - Helped very much
2 - Somewhat helped
3 - Did not helped
[-] - Not Applicable</t>
        </r>
      </text>
    </comment>
    <comment ref="J8" authorId="0" shapeId="0" xr:uid="{65607376-5FFC-40EC-90AD-06E4616C9A40}">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K8" authorId="0" shapeId="0" xr:uid="{D7C6D06B-E904-4C77-BC2C-921DCF50EA9A}">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L8" authorId="0" shapeId="0" xr:uid="{F1CE3593-BBC4-4CAB-9DB5-27644CBADC4D}">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M8" authorId="0" shapeId="0" xr:uid="{2815B685-70F1-4B28-879E-618362542793}">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N8" authorId="0" shapeId="0" xr:uid="{7EC1D3A2-4E4D-4203-BDD8-40241096BDFE}">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O8" authorId="0" shapeId="0" xr:uid="{1397BA9B-04CB-4434-A90B-E16FF4E4E8D6}">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P8" authorId="0" shapeId="0" xr:uid="{67B6B6AF-6ED8-425C-BD4C-0576717E0AB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Q8" authorId="0" shapeId="0" xr:uid="{9C51D416-9E59-43F9-906B-83DAA519D9A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R8" authorId="0" shapeId="0" xr:uid="{D86795F3-0DD3-4E10-89EA-5F098FF09218}">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C3" authorId="0" shapeId="0" xr:uid="{CDA56176-DEBE-46BA-9156-182CE3606F1B}">
      <text>
        <r>
          <rPr>
            <b/>
            <sz val="9"/>
            <color indexed="81"/>
            <rFont val="Tahoma"/>
            <family val="2"/>
          </rPr>
          <t>ACER:</t>
        </r>
        <r>
          <rPr>
            <sz val="9"/>
            <color indexed="81"/>
            <rFont val="Tahoma"/>
            <family val="2"/>
          </rPr>
          <t xml:space="preserve">
Cell formula. Automatically update text from the Report Sheet.</t>
        </r>
      </text>
    </comment>
    <comment ref="C4" authorId="0" shapeId="0" xr:uid="{6C4F1DF5-D0A8-4702-B307-D80CA2A70705}">
      <text>
        <r>
          <rPr>
            <b/>
            <sz val="9"/>
            <color indexed="81"/>
            <rFont val="Tahoma"/>
            <family val="2"/>
          </rPr>
          <t>ACER:</t>
        </r>
        <r>
          <rPr>
            <sz val="9"/>
            <color indexed="81"/>
            <rFont val="Tahoma"/>
            <family val="2"/>
          </rPr>
          <t xml:space="preserve">
Cell formula. Automatically update text from the Report Sheet.</t>
        </r>
      </text>
    </comment>
    <comment ref="C5" authorId="0" shapeId="0" xr:uid="{DDC65178-DB90-40C9-B2D3-B745B778FA85}">
      <text>
        <r>
          <rPr>
            <b/>
            <sz val="9"/>
            <color indexed="81"/>
            <rFont val="Tahoma"/>
            <family val="2"/>
          </rPr>
          <t>ACER:</t>
        </r>
        <r>
          <rPr>
            <sz val="9"/>
            <color indexed="81"/>
            <rFont val="Tahoma"/>
            <family val="2"/>
          </rPr>
          <t xml:space="preserve">
Cell formula. Automatically update text from the Report Sheet.t</t>
        </r>
      </text>
    </comment>
    <comment ref="G8" authorId="0" shapeId="0" xr:uid="{E5A36051-366D-46AD-AC81-2080455A8FC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H8" authorId="0" shapeId="0" xr:uid="{B41BCE70-C2B5-4385-BB17-5B66F8BBAF9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I8" authorId="0" shapeId="0" xr:uid="{23FEE2E4-9346-4E3C-B206-F17951223F57}">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J8" authorId="0" shapeId="0" xr:uid="{D781773A-4783-42C0-8A6B-14C487F5CB2B}">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K8" authorId="0" shapeId="0" xr:uid="{B0452CE3-9E0C-4773-B166-874EAF5A6E99}">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L8" authorId="0" shapeId="0" xr:uid="{70489645-ACDF-44E3-890B-3CF889552A46}">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 ref="M8" authorId="0" shapeId="0" xr:uid="{2A1EEFAF-D216-489B-8A7C-5B52358DB5C4}">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 - Not Applicable</t>
        </r>
      </text>
    </comment>
    <comment ref="N8" authorId="0" shapeId="0" xr:uid="{D9F34E86-BE10-471F-BA80-D3A10F220934}">
      <text>
        <r>
          <rPr>
            <b/>
            <sz val="9"/>
            <color indexed="81"/>
            <rFont val="Tahoma"/>
            <family val="2"/>
          </rPr>
          <t>ACER:</t>
        </r>
        <r>
          <rPr>
            <sz val="9"/>
            <color indexed="81"/>
            <rFont val="Tahoma"/>
            <family val="2"/>
          </rPr>
          <t xml:space="preserve">
</t>
        </r>
        <r>
          <rPr>
            <b/>
            <sz val="9"/>
            <color indexed="81"/>
            <rFont val="Tahoma"/>
            <family val="2"/>
          </rPr>
          <t>Instruction</t>
        </r>
        <r>
          <rPr>
            <sz val="9"/>
            <color indexed="81"/>
            <rFont val="Tahoma"/>
            <family val="2"/>
          </rPr>
          <t xml:space="preserve"> - Encode CSF response using below numeric scales:
5 – Strongly Agree
4 – Agree
3 – Neither Agree nor Disagree
2 – Disagree 
1 – Strongly Disagree 
[-] - Not Applicable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DTI ORD</author>
    <author>ACER</author>
  </authors>
  <commentList>
    <comment ref="I11" authorId="0" shapeId="0" xr:uid="{AA4C941D-3054-4D2C-A9A2-D7033802346E}">
      <text>
        <r>
          <rPr>
            <b/>
            <sz val="9"/>
            <color indexed="81"/>
            <rFont val="Tahoma"/>
            <family val="2"/>
          </rPr>
          <t>DTI ORD:</t>
        </r>
        <r>
          <rPr>
            <sz val="9"/>
            <color indexed="81"/>
            <rFont val="Tahoma"/>
            <family val="2"/>
          </rPr>
          <t xml:space="preserve">
Input the number/value manually.</t>
        </r>
      </text>
    </comment>
    <comment ref="F83" authorId="1" shapeId="0" xr:uid="{E575FBC0-F937-41E3-9EC2-6039B923F6B3}">
      <text>
        <r>
          <rPr>
            <b/>
            <sz val="9"/>
            <color indexed="81"/>
            <rFont val="Tahoma"/>
            <family val="2"/>
          </rPr>
          <t>ACER:</t>
        </r>
        <r>
          <rPr>
            <sz val="9"/>
            <color indexed="81"/>
            <rFont val="Tahoma"/>
            <family val="2"/>
          </rPr>
          <t xml:space="preserve">
The Process Owners or Division Heads shall formulate improvement actions to address the validated Neither Agree nor Disagree (N), Disagree (D), and Strongly Disagree (SD).
Cients may also have negative feedback or comments nd suggestions in the CSF form without necessarily giving a Neither Agree nor Disagree, Disagree, and Strongly Disagree rating.  Such comments and other issues regarding CSF should also be considered in the Improvement Action Plan in the PLanning Toolls (Sheet No. 9 of Planning Tools??)</t>
        </r>
      </text>
    </comment>
    <comment ref="A86" authorId="1" shapeId="0" xr:uid="{AEDABBF0-9776-4AEC-9C97-989B2B6ACE23}">
      <text>
        <r>
          <rPr>
            <b/>
            <sz val="9"/>
            <color indexed="81"/>
            <rFont val="Tahoma"/>
            <family val="2"/>
          </rPr>
          <t>ACER:</t>
        </r>
        <r>
          <rPr>
            <sz val="9"/>
            <color indexed="81"/>
            <rFont val="Tahoma"/>
            <family val="2"/>
          </rPr>
          <t xml:space="preserve">
The Process Owners or Division Heads shall write down all identified actionable items under the </t>
        </r>
        <r>
          <rPr>
            <sz val="9"/>
            <color indexed="81"/>
            <rFont val="Tahoma"/>
            <family val="2"/>
          </rPr>
          <t>in this section.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<sst xmlns="http://schemas.openxmlformats.org/spreadsheetml/2006/main" count="379" uniqueCount="167">
  <si>
    <t>Processes</t>
  </si>
  <si>
    <t>CC1 - Awareness of the Citizen's Charter</t>
  </si>
  <si>
    <t>SQD Rating Scale</t>
  </si>
  <si>
    <t>Conduct of Training - F2F</t>
  </si>
  <si>
    <t xml:space="preserve"> I know what a CC is and I saw this office’s CC.</t>
  </si>
  <si>
    <t>Strongly Agree</t>
  </si>
  <si>
    <t>Conduct of Training - Online</t>
  </si>
  <si>
    <t xml:space="preserve"> I know what a CC is but I did NOT see this office’s CC.</t>
  </si>
  <si>
    <t>Agree</t>
  </si>
  <si>
    <t>Consumer Advocacy - F2F</t>
  </si>
  <si>
    <t xml:space="preserve"> I learned of the CC only when I saw this office’s CC.</t>
  </si>
  <si>
    <t>Neither Agree nor Disagree</t>
  </si>
  <si>
    <t>Consumer Advocacy - Online</t>
  </si>
  <si>
    <t xml:space="preserve"> I do not know what a CC is and I did not see one in this office.</t>
  </si>
  <si>
    <t xml:space="preserve">Disagree </t>
  </si>
  <si>
    <t>Training and Development - F2F</t>
  </si>
  <si>
    <t>-</t>
  </si>
  <si>
    <t xml:space="preserve"> Not Applicable</t>
  </si>
  <si>
    <t xml:space="preserve">Strongly Disagree </t>
  </si>
  <si>
    <t>Training and Development - Online</t>
  </si>
  <si>
    <t>CC2 -  Visibility of the Citizen's Charter</t>
  </si>
  <si>
    <t xml:space="preserve"> Easy to see</t>
  </si>
  <si>
    <t xml:space="preserve"> Somewhat easy to see</t>
  </si>
  <si>
    <t xml:space="preserve"> Difficult to see</t>
  </si>
  <si>
    <t xml:space="preserve"> Not visible</t>
  </si>
  <si>
    <t>CC3 -  Usefulness of the Citizen's Charter</t>
  </si>
  <si>
    <t xml:space="preserve"> Helped very much</t>
  </si>
  <si>
    <t xml:space="preserve"> Somewhat helped</t>
  </si>
  <si>
    <t xml:space="preserve"> Did not helped</t>
  </si>
  <si>
    <t>Customer Satisfaction Feedback - Tabulation Sheet</t>
  </si>
  <si>
    <t>Document Code:</t>
  </si>
  <si>
    <t>FM-CSF-ACT-TAB</t>
  </si>
  <si>
    <t>Office:</t>
  </si>
  <si>
    <t>Version No.:</t>
  </si>
  <si>
    <t>Process:</t>
  </si>
  <si>
    <t xml:space="preserve">Effectivity Date: </t>
  </si>
  <si>
    <t>September  1, 2025</t>
  </si>
  <si>
    <t>Period:</t>
  </si>
  <si>
    <t>No.</t>
  </si>
  <si>
    <t>Name/Codename</t>
  </si>
  <si>
    <t>Age Group</t>
  </si>
  <si>
    <t>Sex</t>
  </si>
  <si>
    <t>Client Type</t>
  </si>
  <si>
    <t>CC1</t>
  </si>
  <si>
    <t>CC2</t>
  </si>
  <si>
    <t>CC3</t>
  </si>
  <si>
    <t>Overall Rating/SQD 0</t>
  </si>
  <si>
    <t>Responsiveness</t>
  </si>
  <si>
    <t>Reliability</t>
  </si>
  <si>
    <t>Access and Facilities</t>
  </si>
  <si>
    <t>Communication</t>
  </si>
  <si>
    <t>Costs</t>
  </si>
  <si>
    <t>Integrity</t>
  </si>
  <si>
    <t>Assurance</t>
  </si>
  <si>
    <t>Outcome</t>
  </si>
  <si>
    <t>Client 1</t>
  </si>
  <si>
    <t>20-34</t>
  </si>
  <si>
    <t>M</t>
  </si>
  <si>
    <t>Citizen</t>
  </si>
  <si>
    <t>Client 2</t>
  </si>
  <si>
    <t>19 or lower</t>
  </si>
  <si>
    <t>F</t>
  </si>
  <si>
    <t>Business</t>
  </si>
  <si>
    <t>Client 3</t>
  </si>
  <si>
    <t>50-64</t>
  </si>
  <si>
    <t>Client 4</t>
  </si>
  <si>
    <t>Client 5</t>
  </si>
  <si>
    <t>Client 6</t>
  </si>
  <si>
    <t>Client 7</t>
  </si>
  <si>
    <t>Client 8</t>
  </si>
  <si>
    <t>35-49</t>
  </si>
  <si>
    <t>Client 9</t>
  </si>
  <si>
    <t>Government</t>
  </si>
  <si>
    <t>Client 10</t>
  </si>
  <si>
    <t>Client 11</t>
  </si>
  <si>
    <t>Client 12</t>
  </si>
  <si>
    <t>Did not specify</t>
  </si>
  <si>
    <t>Client 13</t>
  </si>
  <si>
    <t>Client 14</t>
  </si>
  <si>
    <t>Client 15</t>
  </si>
  <si>
    <t>Client 16</t>
  </si>
  <si>
    <t>Client 17</t>
  </si>
  <si>
    <t>Client 18</t>
  </si>
  <si>
    <t>Client 19</t>
  </si>
  <si>
    <t>Client 20</t>
  </si>
  <si>
    <t>Client 21</t>
  </si>
  <si>
    <t>Client 22</t>
  </si>
  <si>
    <t>Client 23</t>
  </si>
  <si>
    <t>Client 24</t>
  </si>
  <si>
    <t>Client 25</t>
  </si>
  <si>
    <t>Client 26</t>
  </si>
  <si>
    <t>Client 27</t>
  </si>
  <si>
    <t>Client 28</t>
  </si>
  <si>
    <t>Client 29</t>
  </si>
  <si>
    <t>Client 30</t>
  </si>
  <si>
    <t>Client 31</t>
  </si>
  <si>
    <t>Speaker 1</t>
  </si>
  <si>
    <t>Speaker 2</t>
  </si>
  <si>
    <t>Speaker 3</t>
  </si>
  <si>
    <t>Speaker 4</t>
  </si>
  <si>
    <t>Speaker 5</t>
  </si>
  <si>
    <t>Speaker 6</t>
  </si>
  <si>
    <t>Speaker 7</t>
  </si>
  <si>
    <t>Speaker 8</t>
  </si>
  <si>
    <t>FM-CSF-ACT-RPT</t>
  </si>
  <si>
    <t>CUSTOMER SATISFACTION FEEDBACK REPORT</t>
  </si>
  <si>
    <t>[Bureau/Office]</t>
  </si>
  <si>
    <t>For the period [Month, DD, YYYY]</t>
  </si>
  <si>
    <t>Process</t>
  </si>
  <si>
    <t>Total Responses</t>
  </si>
  <si>
    <t>Title of Activity:</t>
  </si>
  <si>
    <t>Total Number of Clients</t>
  </si>
  <si>
    <t>Retrieval Rate</t>
  </si>
  <si>
    <t>Overall Satisfaction</t>
  </si>
  <si>
    <t>I. Report Summary</t>
  </si>
  <si>
    <t>Adjectival Rating</t>
  </si>
  <si>
    <t>Level of Satisfaction</t>
  </si>
  <si>
    <t>OVERALL SCORING</t>
  </si>
  <si>
    <t>Access &amp; Facilities</t>
  </si>
  <si>
    <t>Disagree</t>
  </si>
  <si>
    <t>Strongly Disagree</t>
  </si>
  <si>
    <t>Not Applicable</t>
  </si>
  <si>
    <t>TOTAL</t>
  </si>
  <si>
    <t>CSF Rating</t>
  </si>
  <si>
    <t>Overall Scoring</t>
  </si>
  <si>
    <t># of Responses</t>
  </si>
  <si>
    <t>% Distribution</t>
  </si>
  <si>
    <t>Sex Disaggregation</t>
  </si>
  <si>
    <t>Count</t>
  </si>
  <si>
    <t>Distribution</t>
  </si>
  <si>
    <t>Total</t>
  </si>
  <si>
    <t>(1) I know what a CC is and I saw 
      this office’s CC.</t>
  </si>
  <si>
    <t>Male</t>
  </si>
  <si>
    <t>(2) I know what a CC is but I did 
     NOT see this office’s CC.</t>
  </si>
  <si>
    <t>Female</t>
  </si>
  <si>
    <t>(3) I learned of the CC only when I 
     saw this office’s CC.</t>
  </si>
  <si>
    <t>(4) I do not know what a CC is and 
      I did not see one in this office.</t>
  </si>
  <si>
    <t>(-)  Not Applicable</t>
  </si>
  <si>
    <t>CC2 - Visibility of the Citizen's Charter</t>
  </si>
  <si>
    <t>Age</t>
  </si>
  <si>
    <t>(1) Easy to see</t>
  </si>
  <si>
    <t>(2) Somewhat easy to see</t>
  </si>
  <si>
    <t>(3) Difficult to see</t>
  </si>
  <si>
    <t>(4) Not visible</t>
  </si>
  <si>
    <t>(5) N/A</t>
  </si>
  <si>
    <t>65 or higher</t>
  </si>
  <si>
    <t>CC3 - Usefulness of the Citizen's Charter</t>
  </si>
  <si>
    <t>(1) Helped very much</t>
  </si>
  <si>
    <t>(2) Somewhat helped</t>
  </si>
  <si>
    <t>(3) Did not helped</t>
  </si>
  <si>
    <t>II. Descriptive Analysis</t>
  </si>
  <si>
    <r>
      <t xml:space="preserve">During the period of ________, a total of </t>
    </r>
    <r>
      <rPr>
        <b/>
        <u/>
        <sz val="12"/>
        <rFont val="Calibri"/>
        <family val="2"/>
      </rPr>
      <t>35</t>
    </r>
    <r>
      <rPr>
        <sz val="12"/>
        <rFont val="Calibri"/>
        <family val="2"/>
      </rPr>
      <t xml:space="preserve"> clients received a Client Satisfaction Feedback (CSF) related to the ___________ service process. The process owner successfully collected </t>
    </r>
    <r>
      <rPr>
        <b/>
        <u/>
        <sz val="12"/>
        <rFont val="Calibri"/>
        <family val="2"/>
      </rPr>
      <t>31</t>
    </r>
    <r>
      <rPr>
        <sz val="12"/>
        <rFont val="Calibri"/>
        <family val="2"/>
      </rPr>
      <t xml:space="preserve">  forms, demonstrating an </t>
    </r>
    <r>
      <rPr>
        <b/>
        <u/>
        <sz val="12"/>
        <rFont val="Calibri"/>
        <family val="2"/>
      </rPr>
      <t>88.57%</t>
    </r>
    <r>
      <rPr>
        <sz val="12"/>
        <rFont val="Calibri"/>
        <family val="2"/>
      </rPr>
      <t xml:space="preserve"> retrieval efficiency across both online and offline platforms. An evaluation of the overall process indicated a CSF rating of </t>
    </r>
    <r>
      <rPr>
        <b/>
        <u/>
        <sz val="12"/>
        <rFont val="Calibri"/>
        <family val="2"/>
      </rPr>
      <t>91.70%</t>
    </r>
    <r>
      <rPr>
        <sz val="12"/>
        <rFont val="Calibri"/>
        <family val="2"/>
      </rPr>
      <t xml:space="preserve">, which is derived from the overall scoring of the Service Quality Dimension (SQD) of the process, signifying a </t>
    </r>
    <r>
      <rPr>
        <b/>
        <u/>
        <sz val="12"/>
        <rFont val="Calibri"/>
        <family val="2"/>
      </rPr>
      <t>very satisfactory</t>
    </r>
    <r>
      <rPr>
        <sz val="12"/>
        <rFont val="Calibri"/>
        <family val="2"/>
      </rPr>
      <t xml:space="preserve"> level of client satisfaction.
In analyzing the demographics of these 31 clients, males represented the majority at </t>
    </r>
    <r>
      <rPr>
        <b/>
        <u/>
        <sz val="12"/>
        <rFont val="Calibri"/>
        <family val="2"/>
      </rPr>
      <t>55%</t>
    </r>
    <r>
      <rPr>
        <sz val="12"/>
        <rFont val="Calibri"/>
        <family val="2"/>
      </rPr>
      <t xml:space="preserve">, while females accounted for </t>
    </r>
    <r>
      <rPr>
        <b/>
        <u/>
        <sz val="12"/>
        <rFont val="Calibri"/>
        <family val="2"/>
      </rPr>
      <t>42%</t>
    </r>
    <r>
      <rPr>
        <sz val="12"/>
        <rFont val="Calibri"/>
        <family val="2"/>
      </rPr>
      <t xml:space="preserve">. Additionally, business-type clients constituted the largest portion of this service process, making up </t>
    </r>
    <r>
      <rPr>
        <b/>
        <u/>
        <sz val="12"/>
        <rFont val="Calibri"/>
        <family val="2"/>
      </rPr>
      <t>58%</t>
    </r>
    <r>
      <rPr>
        <sz val="12"/>
        <rFont val="Calibri"/>
        <family val="2"/>
      </rPr>
      <t xml:space="preserve"> of the total client base.</t>
    </r>
  </si>
  <si>
    <t>III. Clients Comments</t>
  </si>
  <si>
    <t>IV. Improvement Action</t>
  </si>
  <si>
    <t>*Note: Monitoring of this action will be in Sheet no. 9 of  the Planning Tools</t>
  </si>
  <si>
    <t>Source of Improvement</t>
  </si>
  <si>
    <t>Improvement Action</t>
  </si>
  <si>
    <t>Responsibility</t>
  </si>
  <si>
    <t>Timeline</t>
  </si>
  <si>
    <t>Prepared by:</t>
  </si>
  <si>
    <t>Process Owner</t>
  </si>
  <si>
    <t>Reviewed by:</t>
  </si>
  <si>
    <t>Immediate Supervisor/Division Chief</t>
  </si>
  <si>
    <t>Approved by:</t>
  </si>
  <si>
    <t>Head of Office</t>
  </si>
  <si>
    <t>DEMOGRAPHIC PROFILE</t>
  </si>
  <si>
    <t>SERVICE QUALITY DIMENSIONS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</si>
</sst>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d\,\ yyyy"/>
  </numFmts>
  <fonts count="21">
    <font>
      <sz val="12"/>
      <color theme="1"/>
      <name val="Calibri"/>
      <scheme val="minor"/>
    </font>
    <font>
      <sz val="12"/>
      <color theme="1"/>
      <name val="Calibri"/>
      <family val="2"/>
      <scheme val="minor"/>
    </font>
    <font>
      <sz val="12"/>
      <color theme="1"/>
      <name val="Calibri"/>
      <family val="2"/>
    </font>
    <font>
      <b/>
      <sz val="12"/>
      <color theme="1"/>
      <name val="Calibri"/>
      <family val="2"/>
    </font>
    <font>
      <sz val="12"/>
      <name val="Calibri"/>
      <family val="2"/>
    </font>
    <font>
      <b/>
      <sz val="12"/>
      <color theme="0"/>
      <name val="Calibri"/>
      <family val="2"/>
    </font>
    <font>
      <b/>
      <sz val="12"/>
      <color rgb="FFFFFFFF"/>
      <name val="Calibri"/>
      <family val="2"/>
    </font>
    <font>
      <b/>
      <i/>
      <sz val="10"/>
      <color theme="1"/>
      <name val="Calibri"/>
      <family val="2"/>
    </font>
    <font>
      <b/>
      <sz val="12"/>
      <color rgb="FFFFFFFF"/>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0"/>
      <name val="Calibri"/>
      <family val="2"/>
    </font>
    <font>
      <sz val="12"/>
      <color theme="0"/>
      <name val="Calibri"/>
      <family val="2"/>
      <scheme val="minor"/>
    </font>
    <font>
      <sz val="12"/>
      <color rgb="FFFF0000"/>
      <name val="Calibri"/>
      <family val="2"/>
      <scheme val="minor"/>
    </font>
    <font>
      <sz val="12"/>
      <name val="Calibri"/>
      <family val="2"/>
      <scheme val="minor"/>
    </font>
    <font>
      <b/>
      <sz val="12"/>
      <color theme="0"/>
      <name val="Calibri"/>
      <family val="2"/>
      <scheme val="minor"/>
    </font>
    <font>
      <sz val="10"/>
      <color theme="1"/>
      <name val="Calibri"/>
      <family val="2"/>
      <scheme val="major"/>
    </font>
    <font>
      <b/>
      <u/>
      <sz val="12"/>
      <name val="Calibri"/>
      <family val="2"/>
    </font>
    <font>
      <b/>
      <sz val="12"/>
      <name val="Calibri"/>
      <family val="2"/>
      <scheme val="minor"/>
    </font>
  </fonts>
  <fills count="12">
    <fill>
      <patternFill patternType="none"/>
    </fill>
    <fill>
      <patternFill patternType="gray125"/>
    </fill>
    <fill>
      <patternFill patternType="solid">
        <fgColor rgb="FF1E4E79"/>
        <bgColor rgb="FF1E4E79"/>
      </patternFill>
    </fill>
    <fill>
      <patternFill patternType="solid">
        <fgColor rgb="FFD9EAD3"/>
        <bgColor rgb="FFD9EAD3"/>
      </patternFill>
    </fill>
    <fill>
      <patternFill patternType="solid">
        <fgColor rgb="FF073763"/>
        <bgColor rgb="FF073763"/>
      </patternFill>
    </fill>
    <fill>
      <patternFill patternType="solid">
        <fgColor rgb="FF1E4E79"/>
        <bgColor indexed="64"/>
      </patternFill>
    </fill>
    <fill>
      <patternFill patternType="solid">
        <fgColor rgb="FF356854"/>
        <bgColor rgb="FF356854"/>
      </patternFill>
    </fill>
    <fill>
      <patternFill patternType="solid">
        <fgColor theme="4" tint="-0.249977111117893"/>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s>
  <borders count="52">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top/>
      <bottom/>
      <diagonal/>
    </border>
    <border>
      <left/>
      <right style="thin">
        <color rgb="FF284E3F"/>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284E3F"/>
      </top>
      <bottom/>
      <diagonal/>
    </border>
    <border>
      <left/>
      <right style="thin">
        <color indexed="64"/>
      </right>
      <top style="thin">
        <color indexed="64"/>
      </top>
      <bottom style="thin">
        <color indexed="64"/>
      </bottom>
      <diagonal/>
    </border>
    <border>
      <left/>
      <right/>
      <top style="thin">
        <color rgb="FF000000"/>
      </top>
      <bottom style="thin">
        <color indexed="64"/>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77">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2" fillId="0" borderId="0" xfId="0" applyFont="1" applyAlignment="1">
      <alignment horizontal="center"/>
    </xf>
    <xf numFmtId="0" fontId="1" fillId="0" borderId="5"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1" fontId="2" fillId="0" borderId="0" xfId="0" applyNumberFormat="1" applyFont="1" applyAlignment="1">
      <alignment horizontal="center" vertical="center"/>
    </xf>
    <xf numFmtId="0" fontId="5" fillId="2" borderId="14" xfId="0" applyFont="1" applyFill="1" applyBorder="1" applyAlignment="1">
      <alignment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3" fillId="3" borderId="17" xfId="0" applyFont="1" applyFill="1" applyBorder="1" applyAlignment="1">
      <alignment vertical="center"/>
    </xf>
    <xf numFmtId="1" fontId="3" fillId="3" borderId="17" xfId="0" applyNumberFormat="1" applyFont="1" applyFill="1" applyBorder="1" applyAlignment="1">
      <alignment horizontal="center" vertical="center"/>
    </xf>
    <xf numFmtId="10" fontId="3" fillId="3" borderId="17" xfId="0" applyNumberFormat="1" applyFont="1" applyFill="1" applyBorder="1" applyAlignment="1">
      <alignment horizontal="center" vertical="center"/>
    </xf>
    <xf numFmtId="0" fontId="3" fillId="3" borderId="17"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9" xfId="0" applyFont="1" applyFill="1" applyBorder="1" applyAlignment="1">
      <alignment horizontal="center" vertical="center"/>
    </xf>
    <xf numFmtId="0" fontId="2" fillId="0" borderId="20" xfId="0" applyFont="1" applyBorder="1" applyAlignment="1">
      <alignment horizontal="center" vertical="center"/>
    </xf>
    <xf numFmtId="10" fontId="2" fillId="0" borderId="21" xfId="0" applyNumberFormat="1" applyFont="1" applyBorder="1" applyAlignment="1">
      <alignment horizontal="center" vertical="center"/>
    </xf>
    <xf numFmtId="0" fontId="3" fillId="0" borderId="18" xfId="0" applyFont="1" applyBorder="1" applyAlignment="1">
      <alignment horizontal="center" vertical="center"/>
    </xf>
    <xf numFmtId="0" fontId="3" fillId="0" borderId="17" xfId="0" applyFont="1" applyBorder="1" applyAlignment="1">
      <alignment horizontal="center" vertical="center"/>
    </xf>
    <xf numFmtId="10" fontId="3" fillId="0" borderId="19" xfId="0" applyNumberFormat="1" applyFont="1" applyBorder="1" applyAlignment="1">
      <alignment horizontal="center" vertical="center"/>
    </xf>
    <xf numFmtId="0" fontId="2" fillId="0" borderId="0" xfId="0" applyFont="1" applyAlignment="1">
      <alignment horizontal="left" vertical="center" wrapText="1"/>
    </xf>
    <xf numFmtId="0" fontId="2" fillId="0" borderId="20" xfId="0" applyFont="1" applyBorder="1" applyAlignment="1">
      <alignment horizontal="center" vertical="center" wrapText="1"/>
    </xf>
    <xf numFmtId="10" fontId="2" fillId="0" borderId="21"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10" fontId="3" fillId="0" borderId="19" xfId="0" applyNumberFormat="1" applyFont="1" applyBorder="1" applyAlignment="1">
      <alignment horizontal="center" vertical="center" wrapText="1"/>
    </xf>
    <xf numFmtId="0" fontId="11" fillId="0" borderId="0" xfId="0" applyFont="1"/>
    <xf numFmtId="0" fontId="0" fillId="0" borderId="0" xfId="0" applyAlignment="1">
      <alignment horizontal="center"/>
    </xf>
    <xf numFmtId="0" fontId="3" fillId="0" borderId="0" xfId="0" applyFont="1" applyAlignment="1">
      <alignment horizontal="center" vertical="center"/>
    </xf>
    <xf numFmtId="10" fontId="3" fillId="0" borderId="0" xfId="0" applyNumberFormat="1" applyFont="1" applyAlignment="1">
      <alignment horizontal="center" vertical="center"/>
    </xf>
    <xf numFmtId="1" fontId="2" fillId="0" borderId="33" xfId="0" applyNumberFormat="1" applyFont="1" applyBorder="1" applyAlignment="1">
      <alignment horizontal="center" vertical="center"/>
    </xf>
    <xf numFmtId="10" fontId="3" fillId="0" borderId="33" xfId="0" applyNumberFormat="1" applyFont="1" applyBorder="1" applyAlignment="1">
      <alignment horizontal="center" vertical="center"/>
    </xf>
    <xf numFmtId="0" fontId="2" fillId="0" borderId="27" xfId="0" applyFont="1" applyBorder="1" applyAlignment="1" applyProtection="1">
      <alignment vertical="center"/>
      <protection locked="0"/>
    </xf>
    <xf numFmtId="0" fontId="2" fillId="0" borderId="0" xfId="0" applyFont="1" applyAlignment="1" applyProtection="1">
      <alignment vertical="center"/>
      <protection locked="0"/>
    </xf>
    <xf numFmtId="0" fontId="5" fillId="0" borderId="1" xfId="0"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3" fillId="0" borderId="0" xfId="0" applyFont="1"/>
    <xf numFmtId="0" fontId="13" fillId="0" borderId="0" xfId="0" applyFont="1" applyAlignment="1">
      <alignment horizontal="center"/>
    </xf>
    <xf numFmtId="0" fontId="1" fillId="0" borderId="0" xfId="0" applyFont="1"/>
    <xf numFmtId="0" fontId="14" fillId="0" borderId="0" xfId="0" applyFont="1"/>
    <xf numFmtId="0" fontId="2" fillId="0" borderId="0" xfId="0" applyFont="1" applyAlignment="1" applyProtection="1">
      <alignment horizontal="center" vertical="center"/>
      <protection locked="0"/>
    </xf>
    <xf numFmtId="0" fontId="0" fillId="0" borderId="0" xfId="0" applyProtection="1">
      <protection locked="0"/>
    </xf>
    <xf numFmtId="0" fontId="2" fillId="0" borderId="13" xfId="0" applyFont="1" applyBorder="1" applyAlignment="1" applyProtection="1">
      <alignment horizontal="center" vertical="center"/>
      <protection locked="0"/>
    </xf>
    <xf numFmtId="0" fontId="4" fillId="0" borderId="23" xfId="0" applyFont="1" applyBorder="1" applyProtection="1">
      <protection locked="0"/>
    </xf>
    <xf numFmtId="0" fontId="2" fillId="0" borderId="22" xfId="0" applyFont="1" applyBorder="1" applyAlignment="1" applyProtection="1">
      <alignment horizontal="center" vertical="center"/>
      <protection locked="0"/>
    </xf>
    <xf numFmtId="0" fontId="4" fillId="0" borderId="24" xfId="0" applyFont="1" applyBorder="1" applyProtection="1">
      <protection locked="0"/>
    </xf>
    <xf numFmtId="0" fontId="4" fillId="0" borderId="20" xfId="0" applyFont="1" applyBorder="1" applyProtection="1">
      <protection locked="0"/>
    </xf>
    <xf numFmtId="0" fontId="4" fillId="0" borderId="21" xfId="0" applyFont="1" applyBorder="1" applyProtection="1">
      <protection locked="0"/>
    </xf>
    <xf numFmtId="0" fontId="4" fillId="0" borderId="25" xfId="0" applyFont="1" applyBorder="1" applyProtection="1">
      <protection locked="0"/>
    </xf>
    <xf numFmtId="0" fontId="4" fillId="0" borderId="26" xfId="0" applyFont="1" applyBorder="1" applyProtection="1">
      <protection locked="0"/>
    </xf>
    <xf numFmtId="0" fontId="15" fillId="0" borderId="0" xfId="0" applyFont="1"/>
    <xf numFmtId="0" fontId="16" fillId="0" borderId="0" xfId="0" applyFont="1"/>
    <xf numFmtId="0" fontId="16" fillId="0" borderId="0" xfId="0" applyFont="1" applyAlignment="1">
      <alignment vertical="center"/>
    </xf>
    <xf numFmtId="0" fontId="1" fillId="0" borderId="4" xfId="0" applyFont="1" applyBorder="1" applyAlignment="1">
      <alignment horizontal="center" vertical="center"/>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31" xfId="0" applyFont="1" applyBorder="1" applyAlignment="1">
      <alignment vertical="center" wrapText="1"/>
    </xf>
    <xf numFmtId="0" fontId="2" fillId="0" borderId="42" xfId="0" applyFont="1" applyBorder="1" applyAlignment="1">
      <alignment vertical="center"/>
    </xf>
    <xf numFmtId="0" fontId="8" fillId="5" borderId="34" xfId="0" applyFont="1" applyFill="1" applyBorder="1" applyAlignment="1">
      <alignment horizontal="center" vertical="center" wrapText="1"/>
    </xf>
    <xf numFmtId="0" fontId="8" fillId="5" borderId="36" xfId="0" applyFont="1" applyFill="1" applyBorder="1" applyAlignment="1">
      <alignment horizontal="center" vertical="center" wrapText="1"/>
    </xf>
    <xf numFmtId="0" fontId="2" fillId="0" borderId="0" xfId="0" applyFont="1" applyAlignment="1">
      <alignment horizontal="center" vertical="center"/>
    </xf>
    <xf numFmtId="0" fontId="1" fillId="0" borderId="5" xfId="0" applyFont="1" applyBorder="1" applyAlignment="1">
      <alignment horizontal="left" vertical="center"/>
    </xf>
    <xf numFmtId="0" fontId="2" fillId="0" borderId="0" xfId="0" applyFont="1" applyAlignment="1" applyProtection="1">
      <alignment horizontal="center"/>
      <protection locked="0"/>
    </xf>
    <xf numFmtId="0" fontId="5" fillId="0" borderId="2"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5" fillId="6" borderId="2" xfId="0" applyFont="1" applyFill="1" applyBorder="1" applyAlignment="1">
      <alignment horizontal="center" vertical="center"/>
    </xf>
    <xf numFmtId="0" fontId="2" fillId="0" borderId="0" xfId="0" applyFont="1" applyAlignment="1" applyProtection="1">
      <alignment horizontal="left" vertical="center" wrapText="1"/>
      <protection locked="0"/>
    </xf>
    <xf numFmtId="0" fontId="3" fillId="0" borderId="0" xfId="0" applyFont="1" applyAlignment="1" applyProtection="1">
      <alignment vertical="center"/>
      <protection locked="0"/>
    </xf>
    <xf numFmtId="0" fontId="7" fillId="0" borderId="0" xfId="0" applyFont="1" applyAlignment="1" applyProtection="1">
      <alignment vertical="center"/>
      <protection locked="0"/>
    </xf>
    <xf numFmtId="0" fontId="5" fillId="2" borderId="27"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4" fillId="0" borderId="13" xfId="0" applyFont="1" applyBorder="1" applyProtection="1">
      <protection locked="0"/>
    </xf>
    <xf numFmtId="0" fontId="6" fillId="4" borderId="45" xfId="0" applyFont="1" applyFill="1" applyBorder="1" applyAlignment="1">
      <alignment horizontal="center" vertical="center"/>
    </xf>
    <xf numFmtId="0" fontId="6" fillId="4" borderId="46" xfId="0" applyFont="1" applyFill="1" applyBorder="1" applyAlignment="1">
      <alignment horizontal="center" vertical="center"/>
    </xf>
    <xf numFmtId="0" fontId="6" fillId="4" borderId="47" xfId="0" applyFont="1" applyFill="1" applyBorder="1" applyAlignment="1">
      <alignment horizontal="center" vertical="center"/>
    </xf>
    <xf numFmtId="0" fontId="2" fillId="0" borderId="48" xfId="0" applyFont="1" applyBorder="1" applyAlignment="1">
      <alignment horizontal="center" vertical="center"/>
    </xf>
    <xf numFmtId="10" fontId="2" fillId="0" borderId="49" xfId="0" applyNumberFormat="1" applyFont="1" applyBorder="1" applyAlignment="1">
      <alignment horizontal="center" vertical="center"/>
    </xf>
    <xf numFmtId="0" fontId="2" fillId="0" borderId="37" xfId="0" applyFont="1" applyBorder="1" applyAlignment="1">
      <alignment horizontal="center" vertical="center"/>
    </xf>
    <xf numFmtId="10" fontId="2" fillId="0" borderId="38" xfId="0" applyNumberFormat="1"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10" fontId="3" fillId="0" borderId="41" xfId="0" applyNumberFormat="1" applyFont="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xf>
    <xf numFmtId="10" fontId="0" fillId="0" borderId="41" xfId="1" applyNumberFormat="1" applyFont="1" applyBorder="1" applyAlignment="1">
      <alignment horizontal="center"/>
    </xf>
    <xf numFmtId="0" fontId="3" fillId="0" borderId="28" xfId="0" applyFont="1" applyBorder="1" applyAlignment="1">
      <alignment vertical="center"/>
    </xf>
    <xf numFmtId="0" fontId="11" fillId="0" borderId="29" xfId="0" applyFont="1" applyBorder="1" applyAlignment="1">
      <alignment horizontal="center" vertical="center"/>
    </xf>
    <xf numFmtId="10" fontId="11" fillId="0" borderId="30" xfId="0" applyNumberFormat="1" applyFont="1" applyBorder="1" applyAlignment="1">
      <alignment horizontal="center" vertical="center"/>
    </xf>
    <xf numFmtId="0" fontId="0" fillId="0" borderId="0" xfId="0" applyAlignment="1" applyProtection="1">
      <alignment horizontal="center"/>
      <protection locked="0"/>
    </xf>
    <xf numFmtId="0" fontId="1" fillId="0" borderId="0" xfId="0" applyFont="1" applyAlignment="1" applyProtection="1">
      <alignment horizontal="center"/>
      <protection locked="0"/>
    </xf>
    <xf numFmtId="0" fontId="1" fillId="0" borderId="0" xfId="0" applyFont="1" applyAlignment="1" applyProtection="1">
      <alignment horizontal="center" vertical="center"/>
      <protection locked="0"/>
    </xf>
    <xf numFmtId="49" fontId="5" fillId="0" borderId="2" xfId="0" applyNumberFormat="1" applyFont="1" applyBorder="1" applyAlignment="1" applyProtection="1">
      <alignment horizontal="center" vertical="center"/>
      <protection locked="0"/>
    </xf>
    <xf numFmtId="0" fontId="14" fillId="0" borderId="0" xfId="0" applyFont="1" applyProtection="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vertical="center"/>
      <protection locked="0"/>
    </xf>
    <xf numFmtId="0" fontId="1" fillId="0" borderId="5" xfId="0" applyFont="1" applyBorder="1" applyAlignment="1" applyProtection="1">
      <alignment horizontal="center" vertical="center"/>
      <protection locked="0"/>
    </xf>
    <xf numFmtId="0" fontId="11" fillId="0" borderId="0" xfId="0" applyFont="1" applyProtection="1">
      <protection locked="0"/>
    </xf>
    <xf numFmtId="0" fontId="1" fillId="0" borderId="7" xfId="0" applyFont="1" applyBorder="1" applyAlignment="1" applyProtection="1">
      <alignment horizontal="center" vertical="center"/>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1" xfId="0" applyFont="1" applyBorder="1" applyAlignment="1" applyProtection="1">
      <alignment vertical="center"/>
      <protection locked="0"/>
    </xf>
    <xf numFmtId="0" fontId="1" fillId="0" borderId="11" xfId="0" applyFont="1" applyBorder="1" applyAlignment="1" applyProtection="1">
      <alignment horizontal="center" vertical="center"/>
      <protection locked="0"/>
    </xf>
    <xf numFmtId="10" fontId="3" fillId="0" borderId="0" xfId="0" applyNumberFormat="1" applyFont="1" applyAlignment="1" applyProtection="1">
      <alignment horizontal="center" vertical="center"/>
      <protection locked="0"/>
    </xf>
    <xf numFmtId="1" fontId="2" fillId="0" borderId="33" xfId="0" applyNumberFormat="1" applyFont="1" applyBorder="1" applyAlignment="1" applyProtection="1">
      <alignment horizontal="center" vertical="center"/>
      <protection locked="0"/>
    </xf>
    <xf numFmtId="0" fontId="17" fillId="0" borderId="0" xfId="0" applyFont="1" applyAlignment="1">
      <alignment horizontal="center" vertical="center" wrapText="1"/>
    </xf>
    <xf numFmtId="0" fontId="18" fillId="0" borderId="33" xfId="0" applyFont="1" applyBorder="1"/>
    <xf numFmtId="0" fontId="18" fillId="0" borderId="33" xfId="0" applyFont="1" applyBorder="1" applyAlignment="1">
      <alignment horizontal="left"/>
    </xf>
    <xf numFmtId="164" fontId="18" fillId="0" borderId="33" xfId="0" quotePrefix="1" applyNumberFormat="1" applyFont="1" applyBorder="1"/>
    <xf numFmtId="0" fontId="18" fillId="0" borderId="18" xfId="0" applyFont="1" applyBorder="1" applyProtection="1">
      <protection locked="0"/>
    </xf>
    <xf numFmtId="0" fontId="18" fillId="0" borderId="33" xfId="0" applyFont="1" applyBorder="1" applyProtection="1">
      <protection locked="0"/>
    </xf>
    <xf numFmtId="0" fontId="18" fillId="0" borderId="33" xfId="0" applyFont="1" applyBorder="1" applyAlignment="1" applyProtection="1">
      <alignment horizontal="left"/>
      <protection locked="0"/>
    </xf>
    <xf numFmtId="164" fontId="18" fillId="0" borderId="33" xfId="0" quotePrefix="1" applyNumberFormat="1" applyFont="1" applyBorder="1" applyProtection="1">
      <protection locked="0"/>
    </xf>
    <xf numFmtId="0" fontId="5" fillId="7" borderId="1" xfId="0" applyFont="1" applyFill="1" applyBorder="1" applyAlignment="1" applyProtection="1">
      <alignment horizontal="center" vertical="center"/>
      <protection locked="0"/>
    </xf>
    <xf numFmtId="0" fontId="5" fillId="7" borderId="2" xfId="0" applyFont="1" applyFill="1" applyBorder="1" applyAlignment="1" applyProtection="1">
      <alignment horizontal="center" vertical="center"/>
      <protection locked="0"/>
    </xf>
    <xf numFmtId="0" fontId="5" fillId="8" borderId="2" xfId="0" applyFont="1" applyFill="1" applyBorder="1" applyAlignment="1" applyProtection="1">
      <alignment horizontal="center" vertical="center"/>
      <protection locked="0"/>
    </xf>
    <xf numFmtId="0" fontId="5" fillId="8" borderId="3" xfId="0" applyFont="1" applyFill="1" applyBorder="1" applyAlignment="1" applyProtection="1">
      <alignment horizontal="center" vertical="center"/>
      <protection locked="0"/>
    </xf>
    <xf numFmtId="0" fontId="12" fillId="0" borderId="0" xfId="0" applyFont="1" applyAlignment="1" applyProtection="1">
      <alignment horizontal="left" vertical="center"/>
      <protection locked="0"/>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12" fillId="0" borderId="0" xfId="0" applyFont="1" applyAlignment="1">
      <alignment horizontal="left" vertical="center"/>
    </xf>
    <xf numFmtId="0" fontId="3" fillId="0" borderId="33" xfId="0" applyFont="1" applyBorder="1" applyAlignment="1">
      <alignment horizontal="center" vertical="center"/>
    </xf>
    <xf numFmtId="0" fontId="5" fillId="8" borderId="0" xfId="0" applyFont="1" applyFill="1" applyAlignment="1">
      <alignment horizontal="center" vertical="center"/>
    </xf>
    <xf numFmtId="10" fontId="2" fillId="0" borderId="43" xfId="0" applyNumberFormat="1" applyFont="1" applyBorder="1" applyAlignment="1">
      <alignment horizontal="center" vertical="center"/>
    </xf>
    <xf numFmtId="0" fontId="5" fillId="2" borderId="33" xfId="0" applyFont="1" applyFill="1" applyBorder="1" applyAlignment="1">
      <alignment horizontal="left" vertical="center" wrapText="1"/>
    </xf>
    <xf numFmtId="0" fontId="20" fillId="11" borderId="33" xfId="0" applyFont="1" applyFill="1" applyBorder="1" applyAlignment="1">
      <alignment horizontal="left" vertical="center" wrapText="1"/>
    </xf>
    <xf numFmtId="0" fontId="17" fillId="9" borderId="33" xfId="0" applyFont="1" applyFill="1" applyBorder="1" applyAlignment="1">
      <alignment horizontal="left" vertical="center" wrapText="1"/>
    </xf>
    <xf numFmtId="0" fontId="3" fillId="10" borderId="50" xfId="0" applyFont="1" applyFill="1" applyBorder="1" applyAlignment="1">
      <alignment horizontal="center" vertical="center"/>
    </xf>
    <xf numFmtId="10" fontId="17" fillId="9" borderId="43" xfId="0" applyNumberFormat="1" applyFont="1" applyFill="1" applyBorder="1" applyAlignment="1" applyProtection="1">
      <alignment horizontal="center" vertical="center"/>
      <protection locked="0"/>
    </xf>
    <xf numFmtId="0" fontId="20" fillId="10" borderId="51" xfId="0" applyFont="1" applyFill="1" applyBorder="1" applyAlignment="1">
      <alignment horizontal="left" vertical="center" wrapText="1"/>
    </xf>
    <xf numFmtId="0" fontId="2" fillId="0" borderId="23" xfId="0" applyFont="1" applyBorder="1" applyAlignment="1" applyProtection="1">
      <alignment horizontal="center" vertical="center"/>
      <protection locked="0"/>
    </xf>
    <xf numFmtId="0" fontId="3" fillId="0" borderId="0" xfId="0" applyFont="1" applyAlignment="1">
      <alignment horizontal="center" vertical="center"/>
    </xf>
    <xf numFmtId="0" fontId="2" fillId="0" borderId="0" xfId="0" applyFont="1" applyAlignment="1" applyProtection="1">
      <alignment horizontal="center" vertical="center"/>
      <protection locked="0"/>
    </xf>
    <xf numFmtId="0" fontId="2" fillId="0" borderId="13" xfId="0" applyFont="1" applyBorder="1" applyAlignment="1" applyProtection="1">
      <alignment horizontal="left" vertical="center"/>
      <protection locked="0"/>
    </xf>
    <xf numFmtId="0" fontId="4" fillId="0" borderId="34" xfId="0" applyFont="1" applyBorder="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4" fillId="0" borderId="36" xfId="0" applyFont="1" applyBorder="1" applyAlignment="1" applyProtection="1">
      <alignment horizontal="left" vertical="center" wrapText="1"/>
      <protection locked="0"/>
    </xf>
    <xf numFmtId="0" fontId="4" fillId="0" borderId="37"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38" xfId="0" applyFont="1" applyBorder="1" applyAlignment="1" applyProtection="1">
      <alignment horizontal="left" vertical="center" wrapText="1"/>
      <protection locked="0"/>
    </xf>
    <xf numFmtId="0" fontId="4" fillId="0" borderId="39" xfId="0" applyFont="1" applyBorder="1" applyAlignment="1" applyProtection="1">
      <alignment horizontal="left" vertical="center" wrapText="1"/>
      <protection locked="0"/>
    </xf>
    <xf numFmtId="0" fontId="4" fillId="0" borderId="40" xfId="0" applyFont="1" applyBorder="1" applyAlignment="1" applyProtection="1">
      <alignment horizontal="left" vertical="center" wrapText="1"/>
      <protection locked="0"/>
    </xf>
    <xf numFmtId="0" fontId="4" fillId="0" borderId="41" xfId="0" applyFont="1" applyBorder="1" applyAlignment="1" applyProtection="1">
      <alignment horizontal="left" vertical="center" wrapText="1"/>
      <protection locked="0"/>
    </xf>
    <xf numFmtId="0" fontId="2" fillId="0" borderId="44" xfId="0" applyFont="1" applyBorder="1" applyAlignment="1" applyProtection="1">
      <alignment horizontal="center" vertical="center"/>
      <protection locked="0"/>
    </xf>
    <xf numFmtId="0" fontId="17" fillId="0" borderId="0" xfId="0" applyFont="1" applyAlignment="1">
      <alignment horizontal="center"/>
    </xf>
    <xf numFmtId="0" fontId="0" fillId="0" borderId="0" xfId="0" applyAlignment="1">
      <alignment horizontal="left"/>
    </xf>
    <xf numFmtId="0" fontId="1" fillId="0" borderId="0" xfId="0" applyFont="1" applyAlignment="1" applyProtection="1">
      <alignment horizontal="left"/>
      <protection locked="0"/>
    </xf>
    <xf numFmtId="0" fontId="1" fillId="0" borderId="0" xfId="0" applyFont="1" applyAlignment="1">
      <alignment horizontal="left"/>
    </xf>
    <xf numFmtId="0" fontId="0" fillId="0" borderId="0" xfId="0" applyAlignment="1"/>
    <xf numFmtId="0" fontId="0" fillId="0" borderId="0" xfId="0" applyAlignment="1" applyProtection="1">
      <protection locked="0"/>
    </xf>
    <xf numFmtId="0" fontId="4" fillId="0" borderId="13" xfId="0" applyFont="1" applyBorder="1" applyAlignment="1" applyProtection="1">
      <protection locked="0"/>
    </xf>
    <xf numFmtId="10" fontId="3" fillId="0" borderId="33" xfId="1" applyNumberFormat="1" applyFont="1" applyBorder="1" applyAlignment="1">
      <alignment horizontal="center" vertical="center" wrapText="1"/>
    </xf>
    <xf numFmtId="10" fontId="2" fillId="0" borderId="6" xfId="0" applyNumberFormat="1" applyFont="1" applyBorder="1" applyAlignment="1">
      <alignment horizontal="center" vertical="center"/>
    </xf>
    <xf numFmtId="0" fontId="1" fillId="0" borderId="37" xfId="0" applyFont="1" applyBorder="1" applyAlignment="1">
      <alignment vertical="center" wrapText="1"/>
    </xf>
    <xf numFmtId="10" fontId="1" fillId="0" borderId="38" xfId="1" applyNumberFormat="1" applyFont="1" applyBorder="1" applyAlignment="1">
      <alignment horizontal="center" vertical="center" wrapText="1"/>
    </xf>
    <xf numFmtId="0" fontId="2" fillId="0" borderId="8" xfId="0" applyFont="1" applyBorder="1" applyAlignment="1">
      <alignment horizontal="center" vertical="center"/>
    </xf>
    <xf numFmtId="10" fontId="2" fillId="0" borderId="9" xfId="0" applyNumberFormat="1" applyFont="1" applyBorder="1" applyAlignment="1">
      <alignment horizontal="center" vertical="center"/>
    </xf>
    <xf numFmtId="10" fontId="2" fillId="0" borderId="32" xfId="0" applyNumberFormat="1" applyFont="1" applyBorder="1" applyAlignment="1">
      <alignment horizontal="center" vertical="center"/>
    </xf>
    <xf numFmtId="0" fontId="3" fillId="0" borderId="10" xfId="0" applyFont="1" applyBorder="1" applyAlignment="1">
      <alignment vertical="center" wrapText="1"/>
    </xf>
    <xf numFmtId="0" fontId="3" fillId="0" borderId="11" xfId="0" applyFont="1" applyBorder="1" applyAlignment="1">
      <alignment horizontal="center" vertical="center"/>
    </xf>
    <xf numFmtId="10" fontId="3" fillId="0" borderId="12" xfId="0" applyNumberFormat="1" applyFont="1" applyBorder="1" applyAlignment="1">
      <alignment horizontal="center" vertical="center"/>
    </xf>
    <xf numFmtId="0" fontId="2" fillId="0" borderId="4" xfId="0" applyFont="1" applyBorder="1" applyAlignment="1">
      <alignment vertical="center"/>
    </xf>
    <xf numFmtId="0" fontId="2" fillId="0" borderId="7" xfId="0" applyFont="1" applyBorder="1" applyAlignment="1">
      <alignment vertical="center"/>
    </xf>
    <xf numFmtId="0" fontId="1" fillId="0" borderId="0" xfId="0" applyFont="1" applyAlignment="1">
      <alignment vertical="center" wrapText="1"/>
    </xf>
    <xf numFmtId="0" fontId="2" fillId="0" borderId="42" xfId="0" applyFont="1" applyBorder="1" applyAlignment="1">
      <alignment horizontal="center" vertical="center"/>
    </xf>
    <xf numFmtId="10" fontId="2" fillId="0" borderId="42" xfId="0" applyNumberFormat="1" applyFont="1" applyBorder="1" applyAlignment="1">
      <alignment horizontal="center" vertical="center"/>
    </xf>
    <xf numFmtId="0" fontId="3" fillId="0" borderId="0" xfId="0" applyFont="1" applyAlignment="1">
      <alignment horizontal="left" vertical="center" wrapText="1"/>
    </xf>
    <xf numFmtId="0" fontId="3" fillId="0" borderId="0" xfId="1" applyNumberFormat="1" applyFont="1" applyFill="1" applyBorder="1" applyAlignment="1">
      <alignment horizontal="center" vertical="center" wrapText="1"/>
    </xf>
    <xf numFmtId="3" fontId="2" fillId="0" borderId="5" xfId="0" applyNumberFormat="1" applyFont="1" applyBorder="1" applyAlignment="1">
      <alignment horizontal="center" vertical="center"/>
    </xf>
    <xf numFmtId="3" fontId="2" fillId="0" borderId="8" xfId="0" applyNumberFormat="1" applyFont="1" applyBorder="1" applyAlignment="1">
      <alignment horizontal="center" vertical="center"/>
    </xf>
    <xf numFmtId="0" fontId="3" fillId="0" borderId="10" xfId="0" applyFont="1" applyBorder="1" applyAlignment="1">
      <alignment vertical="center"/>
    </xf>
    <xf numFmtId="3" fontId="3" fillId="0" borderId="11" xfId="0" applyNumberFormat="1" applyFont="1" applyBorder="1" applyAlignment="1">
      <alignment horizontal="center" vertical="center"/>
    </xf>
  </cellXfs>
  <cellStyles count="2">
    <cellStyle name="Normal" xfId="0" builtinId="0"/>
    <cellStyle name="Per cent" xfId="1" builtinId="5"/>
  </cellStyles>
  <dxfs count="48">
    <dxf>
      <numFmt numFmtId="14" formatCode="0.00%"/>
    </dxf>
    <dxf>
      <font>
        <strike val="0"/>
        <outline val="0"/>
        <shadow val="0"/>
        <u val="none"/>
        <vertAlign val="baseline"/>
        <sz val="12"/>
        <color theme="0"/>
        <name val="Calibri"/>
        <family val="2"/>
        <scheme val="none"/>
      </font>
    </dxf>
    <dxf>
      <font>
        <strike val="0"/>
        <outline val="0"/>
        <shadow val="0"/>
        <u val="none"/>
        <vertAlign val="baseline"/>
        <sz val="12"/>
        <color theme="0"/>
        <name val="Calibri"/>
        <family val="2"/>
        <scheme val="none"/>
      </font>
    </dxf>
    <dxf>
      <alignment horizontal="general" vertical="center" textRotation="0" wrapText="1" indent="0" justifyLastLine="0" shrinkToFit="0" readingOrder="0"/>
    </dxf>
    <dxf>
      <protection locked="1" hidden="0"/>
    </dxf>
    <dxf>
      <protection locked="1" hidden="0"/>
    </dxf>
    <dxf>
      <protection locked="1" hidden="0"/>
    </dxf>
    <dxf>
      <protection locked="1" hidden="0"/>
    </dxf>
    <dxf>
      <protection locked="0" hidden="0"/>
    </dxf>
    <dxf>
      <protection locked="0" hidden="0"/>
    </dxf>
    <dxf>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border>
        <left style="thin">
          <color rgb="FFFFFFFF"/>
        </left>
      </border>
    </dxf>
    <dxf>
      <alignment horizontal="left" vertical="center" textRotation="0" wrapText="0" indent="0" justifyLastLine="0" shrinkToFit="0" readingOrder="0"/>
    </dxf>
    <dxf>
      <alignment horizontal="center" textRotation="0" wrapText="0" indent="0" justifyLastLine="0" shrinkToFit="0" readingOrder="0"/>
      <border>
        <right style="thin">
          <color rgb="FFFFFFFF"/>
        </right>
      </border>
    </dxf>
    <dxf>
      <font>
        <strike val="0"/>
        <outline val="0"/>
        <shadow val="0"/>
        <u val="none"/>
        <vertAlign val="baseline"/>
        <sz val="12"/>
        <color theme="0"/>
        <name val="Calibri"/>
      </font>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protection locked="0" hidden="0"/>
    </dxf>
    <dxf>
      <font>
        <b val="0"/>
        <i val="0"/>
        <strike val="0"/>
        <condense val="0"/>
        <extend val="0"/>
        <outline val="0"/>
        <shadow val="0"/>
        <u val="none"/>
        <vertAlign val="baseline"/>
        <sz val="12"/>
        <color theme="1"/>
        <name val="Calibri"/>
        <scheme val="none"/>
      </font>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0" hidden="0"/>
    </dxf>
    <dxf>
      <protection locked="0" hidden="0"/>
    </dxf>
    <dxf>
      <protection locked="0" hidden="0"/>
    </dxf>
    <dxf>
      <protection locked="0" hidden="0"/>
    </dxf>
    <dxf>
      <protection locked="0" hidden="0"/>
    </dxf>
    <dxf>
      <protection locked="0" hidden="0"/>
    </dxf>
    <dxf>
      <alignment horizontal="center" textRotation="0" wrapText="0" indent="0" justifyLastLine="0" shrinkToFit="0" readingOrder="0"/>
      <protection locked="0" hidden="0"/>
    </dxf>
    <dxf>
      <protection locked="0" hidden="0"/>
    </dxf>
    <dxf>
      <protection locked="0" hidden="0"/>
    </dxf>
    <dxf>
      <font>
        <strike val="0"/>
        <outline val="0"/>
        <shadow val="0"/>
        <u val="none"/>
        <vertAlign val="baseline"/>
        <sz val="12"/>
        <color theme="0"/>
        <name val="Calibri"/>
      </font>
      <protection locked="0" hidden="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defaultTableStyle="TableStyleMedium2" defaultPivotStyle="PivotStyleLight16">
    <tableStyle name="Tabulation Sheet-style" pivot="0" count="3" xr9:uid="{00000000-0011-0000-FFFF-FFFF00000000}">
      <tableStyleElement type="headerRow" dxfId="47"/>
      <tableStyleElement type="firstRowStripe" dxfId="46"/>
      <tableStyleElement type="secondRowStripe" dxfId="45"/>
    </tableStyle>
    <tableStyle name="Citizens Charter-style" pivot="0" count="3" xr9:uid="{00000000-0011-0000-FFFF-FFFF01000000}">
      <tableStyleElement type="headerRow" dxfId="44"/>
      <tableStyleElement type="firstRowStripe" dxfId="43"/>
      <tableStyleElement type="secondRowStripe" dxfId="42"/>
    </tableStyle>
    <tableStyle name="Citizens Charter-style 2" pivot="0" count="3" xr9:uid="{00000000-0011-0000-FFFF-FFFF02000000}">
      <tableStyleElement type="headerRow" dxfId="41"/>
      <tableStyleElement type="firstRowStripe" dxfId="40"/>
      <tableStyleElement type="secondRowStripe" dxfId="39"/>
    </tableStyle>
    <tableStyle name="Citizens Charter-style 3" pivot="0" count="3" xr9:uid="{00000000-0011-0000-FFFF-FFFF03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Sex Disaggregation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176476807468556"/>
          <c:y val="0.21874254354569314"/>
          <c:w val="0.49926361168600142"/>
          <c:h val="0.68287708871101849"/>
        </c:manualLayout>
      </c:layout>
      <c:pieChart>
        <c:varyColors val="1"/>
        <c:ser>
          <c:idx val="0"/>
          <c:order val="0"/>
          <c:tx>
            <c:strRef>
              <c:f>Report!$F$43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6D-4D81-8F00-E9AE75327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D-4D81-8F00-E9AE753277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Report!$E$44:$E$47</c15:sqref>
                  </c15:fullRef>
                </c:ext>
              </c:extLst>
              <c:f>Report!$E$44:$E$45</c:f>
              <c:strCache>
                <c:ptCount val="2"/>
                <c:pt idx="0">
                  <c:v>Male</c:v>
                </c:pt>
                <c:pt idx="1">
                  <c:v>Female</c:v>
                </c:pt>
              </c:strCache>
            </c:strRef>
          </c:cat>
          <c:val>
            <c:numRef>
              <c:extLst>
                <c:ext xmlns:c15="http://schemas.microsoft.com/office/drawing/2012/chart" uri="{02D57815-91ED-43cb-92C2-25804820EDAC}">
                  <c15:fullRef>
                    <c15:sqref>Report!$F$44:$F$47</c15:sqref>
                  </c15:fullRef>
                </c:ext>
              </c:extLst>
              <c:f>Report!$F$44:$F$45</c:f>
              <c:numCache>
                <c:formatCode>General</c:formatCode>
                <c:ptCount val="2"/>
                <c:pt idx="0">
                  <c:v>17</c:v>
                </c:pt>
                <c:pt idx="1">
                  <c:v>13</c:v>
                </c:pt>
              </c:numCache>
            </c:numRef>
          </c:val>
          <c:extLst>
            <c:ext xmlns:c15="http://schemas.microsoft.com/office/drawing/2012/chart" uri="{02D57815-91ED-43cb-92C2-25804820EDAC}">
              <c15:categoryFilterExceptions>
                <c15:categoryFilterException>
                  <c15:sqref>Report!$F$46</c15:sqref>
                  <c15:spPr xmlns:c15="http://schemas.microsoft.com/office/drawing/2012/chart">
                    <a:solidFill>
                      <a:schemeClr val="accent3"/>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8984-4B3C-8D31-40669B3C1D18}"/>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Report!$G$43</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76D-4D81-8F00-E9AE75327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76D-4D81-8F00-E9AE7532775B}"/>
                    </c:ext>
                  </c:extLst>
                </c:dPt>
                <c:cat>
                  <c:strRef>
                    <c:extLst>
                      <c:ext uri="{02D57815-91ED-43cb-92C2-25804820EDAC}">
                        <c15:fullRef>
                          <c15:sqref>Report!$E$44:$E$47</c15:sqref>
                        </c15:fullRef>
                        <c15:formulaRef>
                          <c15:sqref>Report!$E$44:$E$45</c15:sqref>
                        </c15:formulaRef>
                      </c:ext>
                    </c:extLst>
                    <c:strCache>
                      <c:ptCount val="2"/>
                      <c:pt idx="0">
                        <c:v>Male</c:v>
                      </c:pt>
                      <c:pt idx="1">
                        <c:v>Female</c:v>
                      </c:pt>
                    </c:strCache>
                  </c:strRef>
                </c:cat>
                <c:val>
                  <c:numRef>
                    <c:extLst>
                      <c:ext uri="{02D57815-91ED-43cb-92C2-25804820EDAC}">
                        <c15:fullRef>
                          <c15:sqref>Report!$G$44:$G$47</c15:sqref>
                        </c15:fullRef>
                        <c15:formulaRef>
                          <c15:sqref>Report!$G$44:$G$45</c15:sqref>
                        </c15:formulaRef>
                      </c:ext>
                    </c:extLst>
                    <c:numCache>
                      <c:formatCode>0.00%</c:formatCode>
                      <c:ptCount val="2"/>
                      <c:pt idx="0">
                        <c:v>0.54838709677419351</c:v>
                      </c:pt>
                      <c:pt idx="1">
                        <c:v>0.41935483870967744</c:v>
                      </c:pt>
                    </c:numCache>
                  </c:numRef>
                </c:val>
                <c:extLst>
                  <c:ext uri="{02D57815-91ED-43cb-92C2-25804820EDAC}">
                    <c15:categoryFilterExceptions>
                      <c15:categoryFilterException>
                        <c15:sqref>Report!$G$46</c15:sqref>
                        <c15:spPr xmlns:c15="http://schemas.microsoft.com/office/drawing/2012/chart">
                          <a:solidFill>
                            <a:schemeClr val="accent3"/>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1-8984-4B3C-8D31-40669B3C1D18}"/>
                  </c:ext>
                </c:extLst>
              </c15:ser>
            </c15:filteredPieSeries>
          </c:ext>
        </c:extLst>
      </c:pieChart>
      <c:spPr>
        <a:noFill/>
        <a:ln>
          <a:noFill/>
        </a:ln>
        <a:effectLst/>
      </c:spPr>
    </c:plotArea>
    <c:legend>
      <c:legendPos val="b"/>
      <c:layout>
        <c:manualLayout>
          <c:xMode val="edge"/>
          <c:yMode val="edge"/>
          <c:x val="0.76459637238136802"/>
          <c:y val="0.36407907146844265"/>
          <c:w val="0.19416843890045471"/>
          <c:h val="0.33150935769594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276937812520429E-2"/>
          <c:y val="0.17435882621590537"/>
          <c:w val="0.5489445952114359"/>
          <c:h val="0.61412605428153189"/>
        </c:manualLayout>
      </c:layout>
      <c:doughnutChart>
        <c:varyColors val="1"/>
        <c:ser>
          <c:idx val="1"/>
          <c:order val="1"/>
          <c:tx>
            <c:strRef>
              <c:f>Report!$D$17</c:f>
              <c:strCache>
                <c:ptCount val="1"/>
                <c:pt idx="0">
                  <c:v>Responsiveness</c:v>
                </c:pt>
              </c:strCache>
            </c:strRef>
          </c:tx>
          <c:dPt>
            <c:idx val="0"/>
            <c:bubble3D val="0"/>
            <c:spPr>
              <a:solidFill>
                <a:schemeClr val="accent1"/>
              </a:solidFill>
              <a:ln>
                <a:noFill/>
              </a:ln>
              <a:effectLst/>
            </c:spPr>
            <c:extLst>
              <c:ext xmlns:c16="http://schemas.microsoft.com/office/drawing/2014/chart" uri="{C3380CC4-5D6E-409C-BE32-E72D297353CC}">
                <c16:uniqueId val="{00000001-E240-474A-9FDA-014A7FF22CB2}"/>
              </c:ext>
            </c:extLst>
          </c:dPt>
          <c:dPt>
            <c:idx val="1"/>
            <c:bubble3D val="0"/>
            <c:spPr>
              <a:solidFill>
                <a:schemeClr val="accent2"/>
              </a:solidFill>
              <a:ln>
                <a:noFill/>
              </a:ln>
              <a:effectLst/>
            </c:spPr>
            <c:extLst>
              <c:ext xmlns:c16="http://schemas.microsoft.com/office/drawing/2014/chart" uri="{C3380CC4-5D6E-409C-BE32-E72D297353CC}">
                <c16:uniqueId val="{00000003-E240-474A-9FDA-014A7FF22CB2}"/>
              </c:ext>
            </c:extLst>
          </c:dPt>
          <c:dPt>
            <c:idx val="2"/>
            <c:bubble3D val="0"/>
            <c:spPr>
              <a:solidFill>
                <a:schemeClr val="accent3"/>
              </a:solidFill>
              <a:ln>
                <a:noFill/>
              </a:ln>
              <a:effectLst/>
            </c:spPr>
            <c:extLst>
              <c:ext xmlns:c16="http://schemas.microsoft.com/office/drawing/2014/chart" uri="{C3380CC4-5D6E-409C-BE32-E72D297353CC}">
                <c16:uniqueId val="{00000005-E240-474A-9FDA-014A7FF22CB2}"/>
              </c:ext>
            </c:extLst>
          </c:dPt>
          <c:dPt>
            <c:idx val="3"/>
            <c:bubble3D val="0"/>
            <c:spPr>
              <a:solidFill>
                <a:schemeClr val="accent4"/>
              </a:solidFill>
              <a:ln>
                <a:noFill/>
              </a:ln>
              <a:effectLst/>
            </c:spPr>
            <c:extLst>
              <c:ext xmlns:c16="http://schemas.microsoft.com/office/drawing/2014/chart" uri="{C3380CC4-5D6E-409C-BE32-E72D297353CC}">
                <c16:uniqueId val="{00000007-E240-474A-9FDA-014A7FF22CB2}"/>
              </c:ext>
            </c:extLst>
          </c:dPt>
          <c:dPt>
            <c:idx val="4"/>
            <c:bubble3D val="0"/>
            <c:spPr>
              <a:solidFill>
                <a:schemeClr val="accent5"/>
              </a:solidFill>
              <a:ln>
                <a:noFill/>
              </a:ln>
              <a:effectLst/>
            </c:spPr>
            <c:extLst>
              <c:ext xmlns:c16="http://schemas.microsoft.com/office/drawing/2014/chart" uri="{C3380CC4-5D6E-409C-BE32-E72D297353CC}">
                <c16:uniqueId val="{00000009-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ext>
              </c:extLst>
              <c:f>Report!$D$18:$D$22</c:f>
              <c:numCache>
                <c:formatCode>General</c:formatCode>
                <c:ptCount val="5"/>
                <c:pt idx="0">
                  <c:v>29</c:v>
                </c:pt>
                <c:pt idx="1">
                  <c:v>0</c:v>
                </c:pt>
                <c:pt idx="2">
                  <c:v>0</c:v>
                </c:pt>
                <c:pt idx="3">
                  <c:v>1</c:v>
                </c:pt>
                <c:pt idx="4">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1-579B-4FDD-8BDC-6199D8B0BCD1}"/>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B-E240-474A-9FDA-014A7FF22CB2}"/>
                    </c:ext>
                  </c:extLst>
                </c:dPt>
                <c:dPt>
                  <c:idx val="1"/>
                  <c:bubble3D val="0"/>
                  <c:spPr>
                    <a:solidFill>
                      <a:schemeClr val="accent2"/>
                    </a:solidFill>
                    <a:ln>
                      <a:noFill/>
                    </a:ln>
                    <a:effectLst/>
                  </c:spPr>
                  <c:extLst>
                    <c:ext xmlns:c16="http://schemas.microsoft.com/office/drawing/2014/chart" uri="{C3380CC4-5D6E-409C-BE32-E72D297353CC}">
                      <c16:uniqueId val="{0000000D-E240-474A-9FDA-014A7FF22CB2}"/>
                    </c:ext>
                  </c:extLst>
                </c:dPt>
                <c:dPt>
                  <c:idx val="2"/>
                  <c:bubble3D val="0"/>
                  <c:spPr>
                    <a:solidFill>
                      <a:schemeClr val="accent3"/>
                    </a:solidFill>
                    <a:ln>
                      <a:noFill/>
                    </a:ln>
                    <a:effectLst/>
                  </c:spPr>
                  <c:extLst>
                    <c:ext xmlns:c16="http://schemas.microsoft.com/office/drawing/2014/chart" uri="{C3380CC4-5D6E-409C-BE32-E72D297353CC}">
                      <c16:uniqueId val="{0000000F-E240-474A-9FDA-014A7FF22CB2}"/>
                    </c:ext>
                  </c:extLst>
                </c:dPt>
                <c:dPt>
                  <c:idx val="3"/>
                  <c:bubble3D val="0"/>
                  <c:spPr>
                    <a:solidFill>
                      <a:schemeClr val="accent4"/>
                    </a:solidFill>
                    <a:ln>
                      <a:noFill/>
                    </a:ln>
                    <a:effectLst/>
                  </c:spPr>
                  <c:extLst>
                    <c:ext xmlns:c16="http://schemas.microsoft.com/office/drawing/2014/chart" uri="{C3380CC4-5D6E-409C-BE32-E72D297353CC}">
                      <c16:uniqueId val="{00000011-E240-474A-9FDA-014A7FF22CB2}"/>
                    </c:ext>
                  </c:extLst>
                </c:dPt>
                <c:dPt>
                  <c:idx val="4"/>
                  <c:bubble3D val="0"/>
                  <c:spPr>
                    <a:solidFill>
                      <a:schemeClr val="accent5"/>
                    </a:solidFill>
                    <a:ln>
                      <a:noFill/>
                    </a:ln>
                    <a:effectLst/>
                  </c:spPr>
                  <c:extLst>
                    <c:ext xmlns:c16="http://schemas.microsoft.com/office/drawing/2014/chart" uri="{C3380CC4-5D6E-409C-BE32-E72D297353CC}">
                      <c16:uniqueId val="{00000013-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00-579B-4FDD-8BDC-6199D8B0BCD1}"/>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5-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7-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9-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B-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D-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579B-4FDD-8BDC-6199D8B0BCD1}"/>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1-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3-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5-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7-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579B-4FDD-8BDC-6199D8B0BCD1}"/>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9-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B-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D-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F-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1-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579B-4FDD-8BDC-6199D8B0BCD1}"/>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3-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5-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7-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9-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B-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579B-4FDD-8BDC-6199D8B0BCD1}"/>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F-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1-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3-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5-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579B-4FDD-8BDC-6199D8B0BCD1}"/>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7-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9-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B-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D-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F-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579B-4FDD-8BDC-6199D8B0BCD1}"/>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1-E240-474A-9FDA-014A7FF22CB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3-E240-474A-9FDA-014A7FF22CB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5-E240-474A-9FDA-014A7FF22CB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7-E240-474A-9FDA-014A7FF22CB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9-E240-474A-9FDA-014A7FF22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79B-4FDD-8BDC-6199D8B0BCD1}"/>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248546350250995E-2"/>
          <c:y val="0.17435882621590537"/>
          <c:w val="0.53397331278893811"/>
          <c:h val="0.64279334127517729"/>
        </c:manualLayout>
      </c:layout>
      <c:doughnutChart>
        <c:varyColors val="1"/>
        <c:ser>
          <c:idx val="2"/>
          <c:order val="2"/>
          <c:tx>
            <c:strRef>
              <c:f>Report!$E$17</c:f>
              <c:strCache>
                <c:ptCount val="1"/>
                <c:pt idx="0">
                  <c:v>Reliability</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17-CFEE-4E01-8413-D1D724D56E19}"/>
              </c:ext>
            </c:extLst>
          </c:dPt>
          <c:dPt>
            <c:idx val="1"/>
            <c:bubble3D val="0"/>
            <c:spPr>
              <a:solidFill>
                <a:schemeClr val="accent2"/>
              </a:solidFill>
              <a:ln>
                <a:noFill/>
              </a:ln>
              <a:effectLst/>
            </c:spPr>
            <c:extLst>
              <c:ext xmlns:c16="http://schemas.microsoft.com/office/drawing/2014/chart" uri="{C3380CC4-5D6E-409C-BE32-E72D297353CC}">
                <c16:uniqueId val="{00000019-CFEE-4E01-8413-D1D724D56E19}"/>
              </c:ext>
            </c:extLst>
          </c:dPt>
          <c:dPt>
            <c:idx val="2"/>
            <c:bubble3D val="0"/>
            <c:spPr>
              <a:solidFill>
                <a:schemeClr val="accent3"/>
              </a:solidFill>
              <a:ln>
                <a:noFill/>
              </a:ln>
              <a:effectLst/>
            </c:spPr>
            <c:extLst>
              <c:ext xmlns:c16="http://schemas.microsoft.com/office/drawing/2014/chart" uri="{C3380CC4-5D6E-409C-BE32-E72D297353CC}">
                <c16:uniqueId val="{0000001B-CFEE-4E01-8413-D1D724D56E19}"/>
              </c:ext>
            </c:extLst>
          </c:dPt>
          <c:dPt>
            <c:idx val="3"/>
            <c:bubble3D val="0"/>
            <c:spPr>
              <a:solidFill>
                <a:schemeClr val="accent4"/>
              </a:solidFill>
              <a:ln>
                <a:noFill/>
              </a:ln>
              <a:effectLst/>
            </c:spPr>
            <c:extLst>
              <c:ext xmlns:c16="http://schemas.microsoft.com/office/drawing/2014/chart" uri="{C3380CC4-5D6E-409C-BE32-E72D297353CC}">
                <c16:uniqueId val="{0000001D-CFEE-4E01-8413-D1D724D56E19}"/>
              </c:ext>
            </c:extLst>
          </c:dPt>
          <c:dPt>
            <c:idx val="4"/>
            <c:bubble3D val="0"/>
            <c:spPr>
              <a:solidFill>
                <a:schemeClr val="accent5"/>
              </a:solidFill>
              <a:ln>
                <a:noFill/>
              </a:ln>
              <a:effectLst/>
            </c:spPr>
            <c:extLst>
              <c:ext xmlns:c16="http://schemas.microsoft.com/office/drawing/2014/chart" uri="{C3380CC4-5D6E-409C-BE32-E72D297353CC}">
                <c16:uniqueId val="{0000001F-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ext>
              </c:extLst>
              <c:f>Report!$E$18:$E$22</c:f>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CFEE-4E01-8413-D1D724D56E1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CFEE-4E01-8413-D1D724D56E19}"/>
                    </c:ext>
                  </c:extLst>
                </c:dPt>
                <c:dPt>
                  <c:idx val="1"/>
                  <c:bubble3D val="0"/>
                  <c:spPr>
                    <a:solidFill>
                      <a:schemeClr val="accent2"/>
                    </a:solidFill>
                    <a:ln>
                      <a:noFill/>
                    </a:ln>
                    <a:effectLst/>
                  </c:spPr>
                  <c:extLst>
                    <c:ext xmlns:c16="http://schemas.microsoft.com/office/drawing/2014/chart" uri="{C3380CC4-5D6E-409C-BE32-E72D297353CC}">
                      <c16:uniqueId val="{0000000E-CFEE-4E01-8413-D1D724D56E19}"/>
                    </c:ext>
                  </c:extLst>
                </c:dPt>
                <c:dPt>
                  <c:idx val="2"/>
                  <c:bubble3D val="0"/>
                  <c:spPr>
                    <a:solidFill>
                      <a:schemeClr val="accent3"/>
                    </a:solidFill>
                    <a:ln>
                      <a:noFill/>
                    </a:ln>
                    <a:effectLst/>
                  </c:spPr>
                  <c:extLst>
                    <c:ext xmlns:c16="http://schemas.microsoft.com/office/drawing/2014/chart" uri="{C3380CC4-5D6E-409C-BE32-E72D297353CC}">
                      <c16:uniqueId val="{00000010-CFEE-4E01-8413-D1D724D56E19}"/>
                    </c:ext>
                  </c:extLst>
                </c:dPt>
                <c:dPt>
                  <c:idx val="3"/>
                  <c:bubble3D val="0"/>
                  <c:spPr>
                    <a:solidFill>
                      <a:schemeClr val="accent4"/>
                    </a:solidFill>
                    <a:ln>
                      <a:noFill/>
                    </a:ln>
                    <a:effectLst/>
                  </c:spPr>
                  <c:extLst>
                    <c:ext xmlns:c16="http://schemas.microsoft.com/office/drawing/2014/chart" uri="{C3380CC4-5D6E-409C-BE32-E72D297353CC}">
                      <c16:uniqueId val="{00000012-CFEE-4E01-8413-D1D724D56E19}"/>
                    </c:ext>
                  </c:extLst>
                </c:dPt>
                <c:dPt>
                  <c:idx val="4"/>
                  <c:bubble3D val="0"/>
                  <c:spPr>
                    <a:solidFill>
                      <a:schemeClr val="accent5"/>
                    </a:solidFill>
                    <a:ln>
                      <a:noFill/>
                    </a:ln>
                    <a:effectLst/>
                  </c:spPr>
                  <c:extLst>
                    <c:ext xmlns:c16="http://schemas.microsoft.com/office/drawing/2014/chart" uri="{C3380CC4-5D6E-409C-BE32-E72D297353CC}">
                      <c16:uniqueId val="{00000014-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CFEE-4E01-8413-D1D724D56E19}"/>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CFEE-4E01-8413-D1D724D56E19}"/>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CFEE-4E01-8413-D1D724D56E19}"/>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CFEE-4E01-8413-D1D724D56E19}"/>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CFEE-4E01-8413-D1D724D56E19}"/>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CFEE-4E01-8413-D1D724D56E19}"/>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CFEE-4E01-8413-D1D724D56E1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CFEE-4E01-8413-D1D724D56E1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CFEE-4E01-8413-D1D724D56E1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CFEE-4E01-8413-D1D724D56E1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CFEE-4E01-8413-D1D724D56E1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CFEE-4E01-8413-D1D724D56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CFEE-4E01-8413-D1D724D56E19}"/>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05751626567768"/>
          <c:y val="0.17435882621590537"/>
          <c:w val="0.46870430138627994"/>
          <c:h val="0.68824105255667334"/>
        </c:manualLayout>
      </c:layout>
      <c:doughnutChart>
        <c:varyColors val="1"/>
        <c:ser>
          <c:idx val="3"/>
          <c:order val="3"/>
          <c:tx>
            <c:strRef>
              <c:f>Report!$F$17</c:f>
              <c:strCache>
                <c:ptCount val="1"/>
                <c:pt idx="0">
                  <c:v>Access &amp; Facilities</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22-D57B-4632-BF9A-CB0AA5CE9122}"/>
              </c:ext>
            </c:extLst>
          </c:dPt>
          <c:dPt>
            <c:idx val="1"/>
            <c:bubble3D val="0"/>
            <c:spPr>
              <a:solidFill>
                <a:schemeClr val="accent2"/>
              </a:solidFill>
              <a:ln>
                <a:noFill/>
              </a:ln>
              <a:effectLst/>
            </c:spPr>
            <c:extLst>
              <c:ext xmlns:c16="http://schemas.microsoft.com/office/drawing/2014/chart" uri="{C3380CC4-5D6E-409C-BE32-E72D297353CC}">
                <c16:uniqueId val="{00000024-D57B-4632-BF9A-CB0AA5CE9122}"/>
              </c:ext>
            </c:extLst>
          </c:dPt>
          <c:dPt>
            <c:idx val="2"/>
            <c:bubble3D val="0"/>
            <c:spPr>
              <a:solidFill>
                <a:schemeClr val="accent3"/>
              </a:solidFill>
              <a:ln>
                <a:noFill/>
              </a:ln>
              <a:effectLst/>
            </c:spPr>
            <c:extLst>
              <c:ext xmlns:c16="http://schemas.microsoft.com/office/drawing/2014/chart" uri="{C3380CC4-5D6E-409C-BE32-E72D297353CC}">
                <c16:uniqueId val="{00000026-D57B-4632-BF9A-CB0AA5CE9122}"/>
              </c:ext>
            </c:extLst>
          </c:dPt>
          <c:dPt>
            <c:idx val="3"/>
            <c:bubble3D val="0"/>
            <c:spPr>
              <a:solidFill>
                <a:schemeClr val="accent4"/>
              </a:solidFill>
              <a:ln>
                <a:noFill/>
              </a:ln>
              <a:effectLst/>
            </c:spPr>
            <c:extLst>
              <c:ext xmlns:c16="http://schemas.microsoft.com/office/drawing/2014/chart" uri="{C3380CC4-5D6E-409C-BE32-E72D297353CC}">
                <c16:uniqueId val="{00000028-D57B-4632-BF9A-CB0AA5CE9122}"/>
              </c:ext>
            </c:extLst>
          </c:dPt>
          <c:dPt>
            <c:idx val="4"/>
            <c:bubble3D val="0"/>
            <c:spPr>
              <a:solidFill>
                <a:schemeClr val="accent5"/>
              </a:solidFill>
              <a:ln>
                <a:noFill/>
              </a:ln>
              <a:effectLst/>
            </c:spPr>
            <c:extLst>
              <c:ext xmlns:c16="http://schemas.microsoft.com/office/drawing/2014/chart" uri="{C3380CC4-5D6E-409C-BE32-E72D297353CC}">
                <c16:uniqueId val="{0000002A-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ext>
              </c:extLst>
              <c:f>Report!$F$18:$F$22</c:f>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D57B-4632-BF9A-CB0AA5CE9122}"/>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D57B-4632-BF9A-CB0AA5CE9122}"/>
                    </c:ext>
                  </c:extLst>
                </c:dPt>
                <c:dPt>
                  <c:idx val="1"/>
                  <c:bubble3D val="0"/>
                  <c:spPr>
                    <a:solidFill>
                      <a:schemeClr val="accent2"/>
                    </a:solidFill>
                    <a:ln>
                      <a:noFill/>
                    </a:ln>
                    <a:effectLst/>
                  </c:spPr>
                  <c:extLst>
                    <c:ext xmlns:c16="http://schemas.microsoft.com/office/drawing/2014/chart" uri="{C3380CC4-5D6E-409C-BE32-E72D297353CC}">
                      <c16:uniqueId val="{0000000E-D57B-4632-BF9A-CB0AA5CE9122}"/>
                    </c:ext>
                  </c:extLst>
                </c:dPt>
                <c:dPt>
                  <c:idx val="2"/>
                  <c:bubble3D val="0"/>
                  <c:spPr>
                    <a:solidFill>
                      <a:schemeClr val="accent3"/>
                    </a:solidFill>
                    <a:ln>
                      <a:noFill/>
                    </a:ln>
                    <a:effectLst/>
                  </c:spPr>
                  <c:extLst>
                    <c:ext xmlns:c16="http://schemas.microsoft.com/office/drawing/2014/chart" uri="{C3380CC4-5D6E-409C-BE32-E72D297353CC}">
                      <c16:uniqueId val="{00000010-D57B-4632-BF9A-CB0AA5CE9122}"/>
                    </c:ext>
                  </c:extLst>
                </c:dPt>
                <c:dPt>
                  <c:idx val="3"/>
                  <c:bubble3D val="0"/>
                  <c:spPr>
                    <a:solidFill>
                      <a:schemeClr val="accent4"/>
                    </a:solidFill>
                    <a:ln>
                      <a:noFill/>
                    </a:ln>
                    <a:effectLst/>
                  </c:spPr>
                  <c:extLst>
                    <c:ext xmlns:c16="http://schemas.microsoft.com/office/drawing/2014/chart" uri="{C3380CC4-5D6E-409C-BE32-E72D297353CC}">
                      <c16:uniqueId val="{00000012-D57B-4632-BF9A-CB0AA5CE9122}"/>
                    </c:ext>
                  </c:extLst>
                </c:dPt>
                <c:dPt>
                  <c:idx val="4"/>
                  <c:bubble3D val="0"/>
                  <c:spPr>
                    <a:solidFill>
                      <a:schemeClr val="accent5"/>
                    </a:solidFill>
                    <a:ln>
                      <a:noFill/>
                    </a:ln>
                    <a:effectLst/>
                  </c:spPr>
                  <c:extLst>
                    <c:ext xmlns:c16="http://schemas.microsoft.com/office/drawing/2014/chart" uri="{C3380CC4-5D6E-409C-BE32-E72D297353CC}">
                      <c16:uniqueId val="{00000014-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D57B-4632-BF9A-CB0AA5CE9122}"/>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D57B-4632-BF9A-CB0AA5CE9122}"/>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D57B-4632-BF9A-CB0AA5CE9122}"/>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D57B-4632-BF9A-CB0AA5CE9122}"/>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D57B-4632-BF9A-CB0AA5CE9122}"/>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D57B-4632-BF9A-CB0AA5CE9122}"/>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D57B-4632-BF9A-CB0AA5CE9122}"/>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D57B-4632-BF9A-CB0AA5CE9122}"/>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D57B-4632-BF9A-CB0AA5CE9122}"/>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D57B-4632-BF9A-CB0AA5CE9122}"/>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D57B-4632-BF9A-CB0AA5CE9122}"/>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D57B-4632-BF9A-CB0AA5CE9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D57B-4632-BF9A-CB0AA5CE9122}"/>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542145945862545E-2"/>
          <c:y val="0.17435882621590537"/>
          <c:w val="0.5346796397569018"/>
          <c:h val="0.59967650766713321"/>
        </c:manualLayout>
      </c:layout>
      <c:doughnutChart>
        <c:varyColors val="1"/>
        <c:ser>
          <c:idx val="4"/>
          <c:order val="4"/>
          <c:tx>
            <c:strRef>
              <c:f>Report!$G$17</c:f>
              <c:strCache>
                <c:ptCount val="1"/>
                <c:pt idx="0">
                  <c:v>Communication</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2D-522E-4F27-9235-B31C63C1D8A1}"/>
              </c:ext>
            </c:extLst>
          </c:dPt>
          <c:dPt>
            <c:idx val="1"/>
            <c:bubble3D val="0"/>
            <c:spPr>
              <a:solidFill>
                <a:schemeClr val="accent2"/>
              </a:solidFill>
              <a:ln>
                <a:noFill/>
              </a:ln>
              <a:effectLst/>
            </c:spPr>
            <c:extLst>
              <c:ext xmlns:c16="http://schemas.microsoft.com/office/drawing/2014/chart" uri="{C3380CC4-5D6E-409C-BE32-E72D297353CC}">
                <c16:uniqueId val="{0000002F-522E-4F27-9235-B31C63C1D8A1}"/>
              </c:ext>
            </c:extLst>
          </c:dPt>
          <c:dPt>
            <c:idx val="2"/>
            <c:bubble3D val="0"/>
            <c:spPr>
              <a:solidFill>
                <a:schemeClr val="accent3"/>
              </a:solidFill>
              <a:ln>
                <a:noFill/>
              </a:ln>
              <a:effectLst/>
            </c:spPr>
            <c:extLst>
              <c:ext xmlns:c16="http://schemas.microsoft.com/office/drawing/2014/chart" uri="{C3380CC4-5D6E-409C-BE32-E72D297353CC}">
                <c16:uniqueId val="{00000031-522E-4F27-9235-B31C63C1D8A1}"/>
              </c:ext>
            </c:extLst>
          </c:dPt>
          <c:dPt>
            <c:idx val="3"/>
            <c:bubble3D val="0"/>
            <c:spPr>
              <a:solidFill>
                <a:schemeClr val="accent4"/>
              </a:solidFill>
              <a:ln>
                <a:noFill/>
              </a:ln>
              <a:effectLst/>
            </c:spPr>
            <c:extLst>
              <c:ext xmlns:c16="http://schemas.microsoft.com/office/drawing/2014/chart" uri="{C3380CC4-5D6E-409C-BE32-E72D297353CC}">
                <c16:uniqueId val="{00000033-522E-4F27-9235-B31C63C1D8A1}"/>
              </c:ext>
            </c:extLst>
          </c:dPt>
          <c:dPt>
            <c:idx val="4"/>
            <c:bubble3D val="0"/>
            <c:spPr>
              <a:solidFill>
                <a:schemeClr val="accent5"/>
              </a:solidFill>
              <a:ln>
                <a:noFill/>
              </a:ln>
              <a:effectLst/>
            </c:spPr>
            <c:extLst>
              <c:ext xmlns:c16="http://schemas.microsoft.com/office/drawing/2014/chart" uri="{C3380CC4-5D6E-409C-BE32-E72D297353CC}">
                <c16:uniqueId val="{00000035-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ext>
              </c:extLst>
              <c:f>Report!$G$18:$G$22</c:f>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522E-4F27-9235-B31C63C1D8A1}"/>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522E-4F27-9235-B31C63C1D8A1}"/>
                    </c:ext>
                  </c:extLst>
                </c:dPt>
                <c:dPt>
                  <c:idx val="1"/>
                  <c:bubble3D val="0"/>
                  <c:spPr>
                    <a:solidFill>
                      <a:schemeClr val="accent2"/>
                    </a:solidFill>
                    <a:ln>
                      <a:noFill/>
                    </a:ln>
                    <a:effectLst/>
                  </c:spPr>
                  <c:extLst>
                    <c:ext xmlns:c16="http://schemas.microsoft.com/office/drawing/2014/chart" uri="{C3380CC4-5D6E-409C-BE32-E72D297353CC}">
                      <c16:uniqueId val="{0000000E-522E-4F27-9235-B31C63C1D8A1}"/>
                    </c:ext>
                  </c:extLst>
                </c:dPt>
                <c:dPt>
                  <c:idx val="2"/>
                  <c:bubble3D val="0"/>
                  <c:spPr>
                    <a:solidFill>
                      <a:schemeClr val="accent3"/>
                    </a:solidFill>
                    <a:ln>
                      <a:noFill/>
                    </a:ln>
                    <a:effectLst/>
                  </c:spPr>
                  <c:extLst>
                    <c:ext xmlns:c16="http://schemas.microsoft.com/office/drawing/2014/chart" uri="{C3380CC4-5D6E-409C-BE32-E72D297353CC}">
                      <c16:uniqueId val="{00000010-522E-4F27-9235-B31C63C1D8A1}"/>
                    </c:ext>
                  </c:extLst>
                </c:dPt>
                <c:dPt>
                  <c:idx val="3"/>
                  <c:bubble3D val="0"/>
                  <c:spPr>
                    <a:solidFill>
                      <a:schemeClr val="accent4"/>
                    </a:solidFill>
                    <a:ln>
                      <a:noFill/>
                    </a:ln>
                    <a:effectLst/>
                  </c:spPr>
                  <c:extLst>
                    <c:ext xmlns:c16="http://schemas.microsoft.com/office/drawing/2014/chart" uri="{C3380CC4-5D6E-409C-BE32-E72D297353CC}">
                      <c16:uniqueId val="{00000012-522E-4F27-9235-B31C63C1D8A1}"/>
                    </c:ext>
                  </c:extLst>
                </c:dPt>
                <c:dPt>
                  <c:idx val="4"/>
                  <c:bubble3D val="0"/>
                  <c:spPr>
                    <a:solidFill>
                      <a:schemeClr val="accent5"/>
                    </a:solidFill>
                    <a:ln>
                      <a:noFill/>
                    </a:ln>
                    <a:effectLst/>
                  </c:spPr>
                  <c:extLst>
                    <c:ext xmlns:c16="http://schemas.microsoft.com/office/drawing/2014/chart" uri="{C3380CC4-5D6E-409C-BE32-E72D297353CC}">
                      <c16:uniqueId val="{00000014-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522E-4F27-9235-B31C63C1D8A1}"/>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22E-4F27-9235-B31C63C1D8A1}"/>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522E-4F27-9235-B31C63C1D8A1}"/>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522E-4F27-9235-B31C63C1D8A1}"/>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522E-4F27-9235-B31C63C1D8A1}"/>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522E-4F27-9235-B31C63C1D8A1}"/>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522E-4F27-9235-B31C63C1D8A1}"/>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522E-4F27-9235-B31C63C1D8A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522E-4F27-9235-B31C63C1D8A1}"/>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522E-4F27-9235-B31C63C1D8A1}"/>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522E-4F27-9235-B31C63C1D8A1}"/>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522E-4F27-9235-B31C63C1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522E-4F27-9235-B31C63C1D8A1}"/>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83" l="0.70866141732283472" r="0.70866141732283472" t="0.3937007874015748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7902679682132"/>
          <c:y val="0.17435882621590537"/>
          <c:w val="0.5212426549491842"/>
          <c:h val="0.62416385650471928"/>
        </c:manualLayout>
      </c:layout>
      <c:doughnutChart>
        <c:varyColors val="1"/>
        <c:ser>
          <c:idx val="5"/>
          <c:order val="5"/>
          <c:tx>
            <c:strRef>
              <c:f>Report!$H$17</c:f>
              <c:strCache>
                <c:ptCount val="1"/>
                <c:pt idx="0">
                  <c:v>Costs</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38-B645-43DB-8398-5D9420909D5E}"/>
              </c:ext>
            </c:extLst>
          </c:dPt>
          <c:dPt>
            <c:idx val="1"/>
            <c:bubble3D val="0"/>
            <c:spPr>
              <a:solidFill>
                <a:schemeClr val="accent2"/>
              </a:solidFill>
              <a:ln>
                <a:noFill/>
              </a:ln>
              <a:effectLst/>
            </c:spPr>
            <c:extLst>
              <c:ext xmlns:c16="http://schemas.microsoft.com/office/drawing/2014/chart" uri="{C3380CC4-5D6E-409C-BE32-E72D297353CC}">
                <c16:uniqueId val="{0000003A-B645-43DB-8398-5D9420909D5E}"/>
              </c:ext>
            </c:extLst>
          </c:dPt>
          <c:dPt>
            <c:idx val="2"/>
            <c:bubble3D val="0"/>
            <c:spPr>
              <a:solidFill>
                <a:schemeClr val="accent3"/>
              </a:solidFill>
              <a:ln>
                <a:noFill/>
              </a:ln>
              <a:effectLst/>
            </c:spPr>
            <c:extLst>
              <c:ext xmlns:c16="http://schemas.microsoft.com/office/drawing/2014/chart" uri="{C3380CC4-5D6E-409C-BE32-E72D297353CC}">
                <c16:uniqueId val="{0000003C-B645-43DB-8398-5D9420909D5E}"/>
              </c:ext>
            </c:extLst>
          </c:dPt>
          <c:dPt>
            <c:idx val="3"/>
            <c:bubble3D val="0"/>
            <c:spPr>
              <a:solidFill>
                <a:schemeClr val="accent4"/>
              </a:solidFill>
              <a:ln>
                <a:noFill/>
              </a:ln>
              <a:effectLst/>
            </c:spPr>
            <c:extLst>
              <c:ext xmlns:c16="http://schemas.microsoft.com/office/drawing/2014/chart" uri="{C3380CC4-5D6E-409C-BE32-E72D297353CC}">
                <c16:uniqueId val="{0000003E-B645-43DB-8398-5D9420909D5E}"/>
              </c:ext>
            </c:extLst>
          </c:dPt>
          <c:dPt>
            <c:idx val="4"/>
            <c:bubble3D val="0"/>
            <c:spPr>
              <a:solidFill>
                <a:schemeClr val="accent5"/>
              </a:solidFill>
              <a:ln>
                <a:noFill/>
              </a:ln>
              <a:effectLst/>
            </c:spPr>
            <c:extLst>
              <c:ext xmlns:c16="http://schemas.microsoft.com/office/drawing/2014/chart" uri="{C3380CC4-5D6E-409C-BE32-E72D297353CC}">
                <c16:uniqueId val="{00000040-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ext>
              </c:extLst>
              <c:f>Report!$H$18:$H$22</c:f>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B645-43DB-8398-5D9420909D5E}"/>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B645-43DB-8398-5D9420909D5E}"/>
                    </c:ext>
                  </c:extLst>
                </c:dPt>
                <c:dPt>
                  <c:idx val="1"/>
                  <c:bubble3D val="0"/>
                  <c:spPr>
                    <a:solidFill>
                      <a:schemeClr val="accent2"/>
                    </a:solidFill>
                    <a:ln>
                      <a:noFill/>
                    </a:ln>
                    <a:effectLst/>
                  </c:spPr>
                  <c:extLst>
                    <c:ext xmlns:c16="http://schemas.microsoft.com/office/drawing/2014/chart" uri="{C3380CC4-5D6E-409C-BE32-E72D297353CC}">
                      <c16:uniqueId val="{0000000E-B645-43DB-8398-5D9420909D5E}"/>
                    </c:ext>
                  </c:extLst>
                </c:dPt>
                <c:dPt>
                  <c:idx val="2"/>
                  <c:bubble3D val="0"/>
                  <c:spPr>
                    <a:solidFill>
                      <a:schemeClr val="accent3"/>
                    </a:solidFill>
                    <a:ln>
                      <a:noFill/>
                    </a:ln>
                    <a:effectLst/>
                  </c:spPr>
                  <c:extLst>
                    <c:ext xmlns:c16="http://schemas.microsoft.com/office/drawing/2014/chart" uri="{C3380CC4-5D6E-409C-BE32-E72D297353CC}">
                      <c16:uniqueId val="{00000010-B645-43DB-8398-5D9420909D5E}"/>
                    </c:ext>
                  </c:extLst>
                </c:dPt>
                <c:dPt>
                  <c:idx val="3"/>
                  <c:bubble3D val="0"/>
                  <c:spPr>
                    <a:solidFill>
                      <a:schemeClr val="accent4"/>
                    </a:solidFill>
                    <a:ln>
                      <a:noFill/>
                    </a:ln>
                    <a:effectLst/>
                  </c:spPr>
                  <c:extLst>
                    <c:ext xmlns:c16="http://schemas.microsoft.com/office/drawing/2014/chart" uri="{C3380CC4-5D6E-409C-BE32-E72D297353CC}">
                      <c16:uniqueId val="{00000012-B645-43DB-8398-5D9420909D5E}"/>
                    </c:ext>
                  </c:extLst>
                </c:dPt>
                <c:dPt>
                  <c:idx val="4"/>
                  <c:bubble3D val="0"/>
                  <c:spPr>
                    <a:solidFill>
                      <a:schemeClr val="accent5"/>
                    </a:solidFill>
                    <a:ln>
                      <a:noFill/>
                    </a:ln>
                    <a:effectLst/>
                  </c:spPr>
                  <c:extLst>
                    <c:ext xmlns:c16="http://schemas.microsoft.com/office/drawing/2014/chart" uri="{C3380CC4-5D6E-409C-BE32-E72D297353CC}">
                      <c16:uniqueId val="{00000014-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B645-43DB-8398-5D9420909D5E}"/>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B645-43DB-8398-5D9420909D5E}"/>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B645-43DB-8398-5D9420909D5E}"/>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B645-43DB-8398-5D9420909D5E}"/>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B645-43DB-8398-5D9420909D5E}"/>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B645-43DB-8398-5D9420909D5E}"/>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B645-43DB-8398-5D9420909D5E}"/>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B645-43DB-8398-5D9420909D5E}"/>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B645-43DB-8398-5D9420909D5E}"/>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B645-43DB-8398-5D9420909D5E}"/>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B645-43DB-8398-5D9420909D5E}"/>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B645-43DB-8398-5D9420909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B645-43DB-8398-5D9420909D5E}"/>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70874980474595E-2"/>
          <c:y val="0.17435882621590537"/>
          <c:w val="0.54595081234129439"/>
          <c:h val="0.60774273655493283"/>
        </c:manualLayout>
      </c:layout>
      <c:doughnutChart>
        <c:varyColors val="1"/>
        <c:ser>
          <c:idx val="6"/>
          <c:order val="6"/>
          <c:tx>
            <c:strRef>
              <c:f>Report!$I$17</c:f>
              <c:strCache>
                <c:ptCount val="1"/>
                <c:pt idx="0">
                  <c:v>Integrity</c:v>
                </c:pt>
              </c:strCache>
              <c:extLst xmlns:c15="http://schemas.microsoft.com/office/drawing/2012/chart"/>
            </c:strRef>
          </c:tx>
          <c:dPt>
            <c:idx val="0"/>
            <c:bubble3D val="0"/>
            <c:spPr>
              <a:solidFill>
                <a:schemeClr val="accent1"/>
              </a:solidFill>
              <a:ln>
                <a:noFill/>
              </a:ln>
              <a:effectLst/>
            </c:spPr>
            <c:extLst>
              <c:ext xmlns:c16="http://schemas.microsoft.com/office/drawing/2014/chart" uri="{C3380CC4-5D6E-409C-BE32-E72D297353CC}">
                <c16:uniqueId val="{00000043-E0D0-452B-AE91-4188FD6854D7}"/>
              </c:ext>
            </c:extLst>
          </c:dPt>
          <c:dPt>
            <c:idx val="1"/>
            <c:bubble3D val="0"/>
            <c:spPr>
              <a:solidFill>
                <a:schemeClr val="accent2"/>
              </a:solidFill>
              <a:ln>
                <a:noFill/>
              </a:ln>
              <a:effectLst/>
            </c:spPr>
            <c:extLst>
              <c:ext xmlns:c16="http://schemas.microsoft.com/office/drawing/2014/chart" uri="{C3380CC4-5D6E-409C-BE32-E72D297353CC}">
                <c16:uniqueId val="{00000045-E0D0-452B-AE91-4188FD6854D7}"/>
              </c:ext>
            </c:extLst>
          </c:dPt>
          <c:dPt>
            <c:idx val="2"/>
            <c:bubble3D val="0"/>
            <c:spPr>
              <a:solidFill>
                <a:schemeClr val="accent3"/>
              </a:solidFill>
              <a:ln>
                <a:noFill/>
              </a:ln>
              <a:effectLst/>
            </c:spPr>
            <c:extLst>
              <c:ext xmlns:c16="http://schemas.microsoft.com/office/drawing/2014/chart" uri="{C3380CC4-5D6E-409C-BE32-E72D297353CC}">
                <c16:uniqueId val="{00000047-E0D0-452B-AE91-4188FD6854D7}"/>
              </c:ext>
            </c:extLst>
          </c:dPt>
          <c:dPt>
            <c:idx val="3"/>
            <c:bubble3D val="0"/>
            <c:spPr>
              <a:solidFill>
                <a:schemeClr val="accent4"/>
              </a:solidFill>
              <a:ln>
                <a:noFill/>
              </a:ln>
              <a:effectLst/>
            </c:spPr>
            <c:extLst>
              <c:ext xmlns:c16="http://schemas.microsoft.com/office/drawing/2014/chart" uri="{C3380CC4-5D6E-409C-BE32-E72D297353CC}">
                <c16:uniqueId val="{00000049-E0D0-452B-AE91-4188FD6854D7}"/>
              </c:ext>
            </c:extLst>
          </c:dPt>
          <c:dPt>
            <c:idx val="4"/>
            <c:bubble3D val="0"/>
            <c:spPr>
              <a:solidFill>
                <a:schemeClr val="accent5"/>
              </a:solidFill>
              <a:ln>
                <a:noFill/>
              </a:ln>
              <a:effectLst/>
            </c:spPr>
            <c:extLst>
              <c:ext xmlns:c16="http://schemas.microsoft.com/office/drawing/2014/chart" uri="{C3380CC4-5D6E-409C-BE32-E72D297353CC}">
                <c16:uniqueId val="{0000004B-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ext>
              </c:extLst>
              <c:f>Report!$I$18:$I$22</c:f>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E0D0-452B-AE91-4188FD6854D7}"/>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E0D0-452B-AE91-4188FD6854D7}"/>
                    </c:ext>
                  </c:extLst>
                </c:dPt>
                <c:dPt>
                  <c:idx val="1"/>
                  <c:bubble3D val="0"/>
                  <c:spPr>
                    <a:solidFill>
                      <a:schemeClr val="accent2"/>
                    </a:solidFill>
                    <a:ln>
                      <a:noFill/>
                    </a:ln>
                    <a:effectLst/>
                  </c:spPr>
                  <c:extLst>
                    <c:ext xmlns:c16="http://schemas.microsoft.com/office/drawing/2014/chart" uri="{C3380CC4-5D6E-409C-BE32-E72D297353CC}">
                      <c16:uniqueId val="{0000000E-E0D0-452B-AE91-4188FD6854D7}"/>
                    </c:ext>
                  </c:extLst>
                </c:dPt>
                <c:dPt>
                  <c:idx val="2"/>
                  <c:bubble3D val="0"/>
                  <c:spPr>
                    <a:solidFill>
                      <a:schemeClr val="accent3"/>
                    </a:solidFill>
                    <a:ln>
                      <a:noFill/>
                    </a:ln>
                    <a:effectLst/>
                  </c:spPr>
                  <c:extLst>
                    <c:ext xmlns:c16="http://schemas.microsoft.com/office/drawing/2014/chart" uri="{C3380CC4-5D6E-409C-BE32-E72D297353CC}">
                      <c16:uniqueId val="{00000010-E0D0-452B-AE91-4188FD6854D7}"/>
                    </c:ext>
                  </c:extLst>
                </c:dPt>
                <c:dPt>
                  <c:idx val="3"/>
                  <c:bubble3D val="0"/>
                  <c:spPr>
                    <a:solidFill>
                      <a:schemeClr val="accent4"/>
                    </a:solidFill>
                    <a:ln>
                      <a:noFill/>
                    </a:ln>
                    <a:effectLst/>
                  </c:spPr>
                  <c:extLst>
                    <c:ext xmlns:c16="http://schemas.microsoft.com/office/drawing/2014/chart" uri="{C3380CC4-5D6E-409C-BE32-E72D297353CC}">
                      <c16:uniqueId val="{00000012-E0D0-452B-AE91-4188FD6854D7}"/>
                    </c:ext>
                  </c:extLst>
                </c:dPt>
                <c:dPt>
                  <c:idx val="4"/>
                  <c:bubble3D val="0"/>
                  <c:spPr>
                    <a:solidFill>
                      <a:schemeClr val="accent5"/>
                    </a:solidFill>
                    <a:ln>
                      <a:noFill/>
                    </a:ln>
                    <a:effectLst/>
                  </c:spPr>
                  <c:extLst>
                    <c:ext xmlns:c16="http://schemas.microsoft.com/office/drawing/2014/chart" uri="{C3380CC4-5D6E-409C-BE32-E72D297353CC}">
                      <c16:uniqueId val="{00000014-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E0D0-452B-AE91-4188FD6854D7}"/>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E0D0-452B-AE91-4188FD6854D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E0D0-452B-AE91-4188FD6854D7}"/>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E0D0-452B-AE91-4188FD6854D7}"/>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E0D0-452B-AE91-4188FD6854D7}"/>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E0D0-452B-AE91-4188FD6854D7}"/>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E0D0-452B-AE91-4188FD6854D7}"/>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E0D0-452B-AE91-4188FD6854D7}"/>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E0D0-452B-AE91-4188FD6854D7}"/>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E0D0-452B-AE91-4188FD6854D7}"/>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E0D0-452B-AE91-4188FD6854D7}"/>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E0D0-452B-AE91-4188FD685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E0D0-452B-AE91-4188FD6854D7}"/>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430841764059345E-2"/>
          <c:y val="0.17435882621590537"/>
          <c:w val="0.53079084837387147"/>
          <c:h val="0.59969515710465582"/>
        </c:manualLayout>
      </c:layout>
      <c:doughnutChart>
        <c:varyColors val="1"/>
        <c:ser>
          <c:idx val="7"/>
          <c:order val="7"/>
          <c:tx>
            <c:strRef>
              <c:f>Report!$J$17</c:f>
              <c:strCache>
                <c:ptCount val="1"/>
                <c:pt idx="0">
                  <c:v>Assurance</c:v>
                </c:pt>
              </c:strCache>
              <c:extLst xmlns:c15="http://schemas.microsoft.com/office/drawing/2012/chart"/>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ext>
              </c:extLst>
              <c:f>Report!$J$18:$J$22</c:f>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CD92-4EFC-A32C-924EB16C9039}"/>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CD92-4EFC-A32C-924EB16C9039}"/>
                    </c:ext>
                  </c:extLst>
                </c:dPt>
                <c:dPt>
                  <c:idx val="1"/>
                  <c:bubble3D val="0"/>
                  <c:spPr>
                    <a:solidFill>
                      <a:schemeClr val="accent2"/>
                    </a:solidFill>
                    <a:ln>
                      <a:noFill/>
                    </a:ln>
                    <a:effectLst/>
                  </c:spPr>
                  <c:extLst>
                    <c:ext xmlns:c16="http://schemas.microsoft.com/office/drawing/2014/chart" uri="{C3380CC4-5D6E-409C-BE32-E72D297353CC}">
                      <c16:uniqueId val="{0000000E-CD92-4EFC-A32C-924EB16C9039}"/>
                    </c:ext>
                  </c:extLst>
                </c:dPt>
                <c:dPt>
                  <c:idx val="2"/>
                  <c:bubble3D val="0"/>
                  <c:spPr>
                    <a:solidFill>
                      <a:schemeClr val="accent3"/>
                    </a:solidFill>
                    <a:ln>
                      <a:noFill/>
                    </a:ln>
                    <a:effectLst/>
                  </c:spPr>
                  <c:extLst>
                    <c:ext xmlns:c16="http://schemas.microsoft.com/office/drawing/2014/chart" uri="{C3380CC4-5D6E-409C-BE32-E72D297353CC}">
                      <c16:uniqueId val="{00000010-CD92-4EFC-A32C-924EB16C9039}"/>
                    </c:ext>
                  </c:extLst>
                </c:dPt>
                <c:dPt>
                  <c:idx val="3"/>
                  <c:bubble3D val="0"/>
                  <c:spPr>
                    <a:solidFill>
                      <a:schemeClr val="accent4"/>
                    </a:solidFill>
                    <a:ln>
                      <a:noFill/>
                    </a:ln>
                    <a:effectLst/>
                  </c:spPr>
                  <c:extLst>
                    <c:ext xmlns:c16="http://schemas.microsoft.com/office/drawing/2014/chart" uri="{C3380CC4-5D6E-409C-BE32-E72D297353CC}">
                      <c16:uniqueId val="{00000012-CD92-4EFC-A32C-924EB16C9039}"/>
                    </c:ext>
                  </c:extLst>
                </c:dPt>
                <c:dPt>
                  <c:idx val="4"/>
                  <c:bubble3D val="0"/>
                  <c:spPr>
                    <a:solidFill>
                      <a:schemeClr val="accent5"/>
                    </a:solidFill>
                    <a:ln>
                      <a:noFill/>
                    </a:ln>
                    <a:effectLst/>
                  </c:spPr>
                  <c:extLst>
                    <c:ext xmlns:c16="http://schemas.microsoft.com/office/drawing/2014/chart" uri="{C3380CC4-5D6E-409C-BE32-E72D297353CC}">
                      <c16:uniqueId val="{00000014-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CD92-4EFC-A32C-924EB16C9039}"/>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CD92-4EFC-A32C-924EB16C9039}"/>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CD92-4EFC-A32C-924EB16C9039}"/>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CD92-4EFC-A32C-924EB16C9039}"/>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CD92-4EFC-A32C-924EB16C9039}"/>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CD92-4EFC-A32C-924EB16C9039}"/>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CD92-4EFC-A32C-924EB16C903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Report!$K$17</c15:sqref>
                        </c15:formulaRef>
                      </c:ext>
                    </c:extLst>
                    <c:strCache>
                      <c:ptCount val="1"/>
                      <c:pt idx="0">
                        <c:v>Outcome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CD92-4EFC-A32C-924EB16C9039}"/>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CD92-4EFC-A32C-924EB16C9039}"/>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CD92-4EFC-A32C-924EB16C9039}"/>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CD92-4EFC-A32C-924EB16C9039}"/>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CD92-4EFC-A32C-924EB16C9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15:formulaRef>
                          <c15:sqref>Report!$K$18:$K$22</c15:sqref>
                        </c15:formulaRef>
                      </c:ext>
                    </c:extLst>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CD92-4EFC-A32C-924EB16C9039}"/>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3689719453485"/>
          <c:y val="0.17435882621590537"/>
          <c:w val="0.52085289021708248"/>
          <c:h val="0.63046849456574106"/>
        </c:manualLayout>
      </c:layout>
      <c:doughnutChart>
        <c:varyColors val="1"/>
        <c:ser>
          <c:idx val="8"/>
          <c:order val="8"/>
          <c:tx>
            <c:strRef>
              <c:f>Report!$K$17</c:f>
              <c:strCache>
                <c:ptCount val="1"/>
                <c:pt idx="0">
                  <c:v>Outcome</c:v>
                </c:pt>
              </c:strCache>
              <c:extLst xmlns:c15="http://schemas.microsoft.com/office/drawing/2012/chart"/>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9-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B-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D-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F-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61-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ext>
              </c:extLst>
              <c:f>Report!$A$18:$A$22</c:f>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Report!$K$18:$K$23</c15:sqref>
                  </c15:fullRef>
                </c:ext>
              </c:extLst>
              <c:f>Report!$K$18:$K$22</c:f>
              <c:numCache>
                <c:formatCode>General</c:formatCode>
                <c:ptCount val="5"/>
                <c:pt idx="0">
                  <c:v>0</c:v>
                </c:pt>
                <c:pt idx="1">
                  <c:v>30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62-5DF6-487C-A29D-21BAAAB45105}"/>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Report!$B$17</c15:sqref>
                        </c15:formulaRef>
                      </c:ext>
                    </c:extLst>
                    <c:strCache>
                      <c:ptCount val="1"/>
                      <c:pt idx="0">
                        <c:v>OVERALL SCORING</c:v>
                      </c:pt>
                    </c:strCache>
                  </c:strRef>
                </c:tx>
                <c:dPt>
                  <c:idx val="0"/>
                  <c:bubble3D val="0"/>
                  <c:spPr>
                    <a:solidFill>
                      <a:schemeClr val="accent1"/>
                    </a:solidFill>
                    <a:ln>
                      <a:noFill/>
                    </a:ln>
                    <a:effectLst/>
                  </c:spPr>
                  <c:extLst>
                    <c:ext xmlns:c16="http://schemas.microsoft.com/office/drawing/2014/chart" uri="{C3380CC4-5D6E-409C-BE32-E72D297353CC}">
                      <c16:uniqueId val="{0000000C-5DF6-487C-A29D-21BAAAB45105}"/>
                    </c:ext>
                  </c:extLst>
                </c:dPt>
                <c:dPt>
                  <c:idx val="1"/>
                  <c:bubble3D val="0"/>
                  <c:spPr>
                    <a:solidFill>
                      <a:schemeClr val="accent2"/>
                    </a:solidFill>
                    <a:ln>
                      <a:noFill/>
                    </a:ln>
                    <a:effectLst/>
                  </c:spPr>
                  <c:extLst>
                    <c:ext xmlns:c16="http://schemas.microsoft.com/office/drawing/2014/chart" uri="{C3380CC4-5D6E-409C-BE32-E72D297353CC}">
                      <c16:uniqueId val="{0000000E-5DF6-487C-A29D-21BAAAB45105}"/>
                    </c:ext>
                  </c:extLst>
                </c:dPt>
                <c:dPt>
                  <c:idx val="2"/>
                  <c:bubble3D val="0"/>
                  <c:spPr>
                    <a:solidFill>
                      <a:schemeClr val="accent3"/>
                    </a:solidFill>
                    <a:ln>
                      <a:noFill/>
                    </a:ln>
                    <a:effectLst/>
                  </c:spPr>
                  <c:extLst>
                    <c:ext xmlns:c16="http://schemas.microsoft.com/office/drawing/2014/chart" uri="{C3380CC4-5D6E-409C-BE32-E72D297353CC}">
                      <c16:uniqueId val="{00000010-5DF6-487C-A29D-21BAAAB45105}"/>
                    </c:ext>
                  </c:extLst>
                </c:dPt>
                <c:dPt>
                  <c:idx val="3"/>
                  <c:bubble3D val="0"/>
                  <c:spPr>
                    <a:solidFill>
                      <a:schemeClr val="accent4"/>
                    </a:solidFill>
                    <a:ln>
                      <a:noFill/>
                    </a:ln>
                    <a:effectLst/>
                  </c:spPr>
                  <c:extLst>
                    <c:ext xmlns:c16="http://schemas.microsoft.com/office/drawing/2014/chart" uri="{C3380CC4-5D6E-409C-BE32-E72D297353CC}">
                      <c16:uniqueId val="{00000012-5DF6-487C-A29D-21BAAAB45105}"/>
                    </c:ext>
                  </c:extLst>
                </c:dPt>
                <c:dPt>
                  <c:idx val="4"/>
                  <c:bubble3D val="0"/>
                  <c:spPr>
                    <a:solidFill>
                      <a:schemeClr val="accent5"/>
                    </a:solidFill>
                    <a:ln>
                      <a:noFill/>
                    </a:ln>
                    <a:effectLst/>
                  </c:spPr>
                  <c:extLst>
                    <c:ext xmlns:c16="http://schemas.microsoft.com/office/drawing/2014/chart" uri="{C3380CC4-5D6E-409C-BE32-E72D297353CC}">
                      <c16:uniqueId val="{00000014-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uri="{02D57815-91ED-43cb-92C2-25804820EDAC}">
                        <c15:fullRef>
                          <c15:sqref>Report!$B$18:$B$23</c15:sqref>
                        </c15:fullRef>
                        <c15:formulaRef>
                          <c15:sqref>Report!$B$18:$B$22</c15:sqref>
                        </c15:formulaRef>
                      </c:ext>
                    </c:extLst>
                    <c:numCache>
                      <c:formatCode>0</c:formatCode>
                      <c:ptCount val="5"/>
                      <c:pt idx="0">
                        <c:v>116</c:v>
                      </c:pt>
                      <c:pt idx="1">
                        <c:v>77</c:v>
                      </c:pt>
                      <c:pt idx="2">
                        <c:v>16</c:v>
                      </c:pt>
                      <c:pt idx="3">
                        <c:v>1</c:v>
                      </c:pt>
                      <c:pt idx="4">
                        <c:v>0</c:v>
                      </c:pt>
                    </c:numCache>
                  </c:numRef>
                </c:val>
                <c:extLst>
                  <c:ext uri="{02D57815-91ED-43cb-92C2-25804820EDAC}">
                    <c15:categoryFilterExceptions/>
                  </c:ext>
                  <c:ext xmlns:c16="http://schemas.microsoft.com/office/drawing/2014/chart" uri="{C3380CC4-5D6E-409C-BE32-E72D297353CC}">
                    <c16:uniqueId val="{00000015-5DF6-487C-A29D-21BAAAB45105}"/>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Report!$D$17</c15:sqref>
                        </c15:formulaRef>
                      </c:ext>
                    </c:extLst>
                    <c:strCache>
                      <c:ptCount val="1"/>
                      <c:pt idx="0">
                        <c:v>Responsiveness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Report!$D$18:$D$23</c15:sqref>
                        </c15:fullRef>
                        <c15:formulaRef>
                          <c15:sqref>Report!$D$18:$D$22</c15:sqref>
                        </c15:formulaRef>
                      </c:ext>
                    </c:extLst>
                    <c:numCache>
                      <c:formatCode>General</c:formatCode>
                      <c:ptCount val="5"/>
                      <c:pt idx="0">
                        <c:v>29</c:v>
                      </c:pt>
                      <c:pt idx="1">
                        <c:v>0</c:v>
                      </c:pt>
                      <c:pt idx="2">
                        <c:v>0</c:v>
                      </c:pt>
                      <c:pt idx="3">
                        <c:v>1</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0-5DF6-487C-A29D-21BAAAB45105}"/>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Report!$E$17</c15:sqref>
                        </c15:formulaRef>
                      </c:ext>
                    </c:extLst>
                    <c:strCache>
                      <c:ptCount val="1"/>
                      <c:pt idx="0">
                        <c:v>Reliability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2-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4-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26-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28-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2A-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Report!$E$18:$E$23</c15:sqref>
                        </c15:fullRef>
                        <c15:formulaRef>
                          <c15:sqref>Report!$E$18:$E$22</c15:sqref>
                        </c15:formulaRef>
                      </c:ext>
                    </c:extLst>
                    <c:numCache>
                      <c:formatCode>General</c:formatCode>
                      <c:ptCount val="5"/>
                      <c:pt idx="0">
                        <c:v>16</c:v>
                      </c:pt>
                      <c:pt idx="1">
                        <c:v>5</c:v>
                      </c:pt>
                      <c:pt idx="2">
                        <c:v>9</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B-5DF6-487C-A29D-21BAAAB45105}"/>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Report!$F$17</c15:sqref>
                        </c15:formulaRef>
                      </c:ext>
                    </c:extLst>
                    <c:strCache>
                      <c:ptCount val="1"/>
                      <c:pt idx="0">
                        <c:v>Access &amp; Facilities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D-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2F-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1-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3-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35-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Report!$F$18:$F$23</c15:sqref>
                        </c15:fullRef>
                        <c15:formulaRef>
                          <c15:sqref>Report!$F$18:$F$22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6-5DF6-487C-A29D-21BAAAB45105}"/>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Report!$G$17</c15:sqref>
                        </c15:formulaRef>
                      </c:ext>
                    </c:extLst>
                    <c:strCache>
                      <c:ptCount val="1"/>
                      <c:pt idx="0">
                        <c:v>Communication</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8-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3A-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3C-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3E-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0-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Report!$G$18:$G$23</c15:sqref>
                        </c15:fullRef>
                        <c15:formulaRef>
                          <c15:sqref>Report!$G$18:$G$22</c15:sqref>
                        </c15:formulaRef>
                      </c:ext>
                    </c:extLst>
                    <c:numCache>
                      <c:formatCode>General</c:formatCode>
                      <c:ptCount val="5"/>
                      <c:pt idx="0">
                        <c:v>11</c:v>
                      </c:pt>
                      <c:pt idx="1">
                        <c:v>18</c:v>
                      </c:pt>
                      <c:pt idx="2">
                        <c:v>1</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1-5DF6-487C-A29D-21BAAAB45105}"/>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Report!$H$17</c15:sqref>
                        </c15:formulaRef>
                      </c:ext>
                    </c:extLst>
                    <c:strCache>
                      <c:ptCount val="1"/>
                      <c:pt idx="0">
                        <c:v>Costs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45-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47-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49-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4B-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Report!$H$18:$H$23</c15:sqref>
                        </c15:fullRef>
                        <c15:formulaRef>
                          <c15:sqref>Report!$H$18:$H$22</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4C-5DF6-487C-A29D-21BAAAB45105}"/>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Report!$I$17</c15:sqref>
                        </c15:formulaRef>
                      </c:ext>
                    </c:extLst>
                    <c:strCache>
                      <c:ptCount val="1"/>
                      <c:pt idx="0">
                        <c:v>Integrity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1-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3-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05-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07-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09-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Report!$I$18:$I$23</c15:sqref>
                        </c15:fullRef>
                        <c15:formulaRef>
                          <c15:sqref>Report!$I$18:$I$22</c15:sqref>
                        </c15:formulaRef>
                      </c:ext>
                    </c:extLst>
                    <c:numCache>
                      <c:formatCode>General</c:formatCode>
                      <c:ptCount val="5"/>
                      <c:pt idx="0">
                        <c:v>0</c:v>
                      </c:pt>
                      <c:pt idx="1">
                        <c:v>24</c:v>
                      </c:pt>
                      <c:pt idx="2">
                        <c:v>6</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5DF6-487C-A29D-21BAAAB45105}"/>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Report!$J$17</c15:sqref>
                        </c15:formulaRef>
                      </c:ext>
                    </c:extLst>
                    <c:strCache>
                      <c:ptCount val="1"/>
                      <c:pt idx="0">
                        <c:v>Assurance</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E-5DF6-487C-A29D-21BAAAB45105}"/>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50-5DF6-487C-A29D-21BAAAB45105}"/>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52-5DF6-487C-A29D-21BAAAB45105}"/>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54-5DF6-487C-A29D-21BAAAB45105}"/>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56-5DF6-487C-A29D-21BAAAB451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Report!$A$18:$A$23</c15:sqref>
                        </c15:fullRef>
                        <c15:formulaRef>
                          <c15:sqref>Report!$A$18:$A$22</c15:sqref>
                        </c15:formulaRef>
                      </c:ext>
                    </c:extLst>
                    <c:strCache>
                      <c:ptCount val="5"/>
                      <c:pt idx="0">
                        <c:v>Strongly Agree</c:v>
                      </c:pt>
                      <c:pt idx="1">
                        <c:v>Agree</c:v>
                      </c:pt>
                      <c:pt idx="2">
                        <c:v>Neither Agree nor Disagree</c:v>
                      </c:pt>
                      <c:pt idx="3">
                        <c:v>Disagree</c:v>
                      </c:pt>
                      <c:pt idx="4">
                        <c:v>Strongly Disagree</c:v>
                      </c:pt>
                    </c:strCache>
                  </c:strRef>
                </c:cat>
                <c:val>
                  <c:numRef>
                    <c:extLst>
                      <c:ext xmlns:c15="http://schemas.microsoft.com/office/drawing/2012/chart" uri="{02D57815-91ED-43cb-92C2-25804820EDAC}">
                        <c15:fullRef>
                          <c15:sqref>Report!$J$18:$J$23</c15:sqref>
                        </c15:fullRef>
                        <c15:formulaRef>
                          <c15:sqref>Report!$J$18:$J$22</c15:sqref>
                        </c15:formulaRef>
                      </c:ext>
                    </c:extLst>
                    <c:numCache>
                      <c:formatCode>General</c:formatCode>
                      <c:ptCount val="5"/>
                      <c:pt idx="0">
                        <c:v>30</c:v>
                      </c:pt>
                      <c:pt idx="1">
                        <c:v>0</c:v>
                      </c:pt>
                      <c:pt idx="2">
                        <c:v>0</c:v>
                      </c:pt>
                      <c:pt idx="3">
                        <c:v>0</c:v>
                      </c:pt>
                      <c:pt idx="4">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57-5DF6-487C-A29D-21BAAAB45105}"/>
                  </c:ext>
                </c:extLst>
              </c15:ser>
            </c15:filteredPieSeries>
          </c:ext>
        </c:extLst>
      </c:doughnutChart>
      <c:spPr>
        <a:noFill/>
        <a:ln>
          <a:noFill/>
        </a:ln>
        <a:effectLst/>
      </c:spPr>
    </c:plotArea>
    <c:legend>
      <c:legendPos val="b"/>
      <c:layout>
        <c:manualLayout>
          <c:xMode val="edge"/>
          <c:yMode val="edge"/>
          <c:x val="0.67012598425196845"/>
          <c:y val="0.19394700662417197"/>
          <c:w val="0.28641469816272969"/>
          <c:h val="0.5957355330583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749730017010694"/>
          <c:y val="0.22004447360746573"/>
          <c:w val="0.47860435460144862"/>
          <c:h val="0.66738735783027126"/>
        </c:manualLayout>
      </c:layout>
      <c:pieChart>
        <c:varyColors val="1"/>
        <c:ser>
          <c:idx val="0"/>
          <c:order val="0"/>
          <c:tx>
            <c:strRef>
              <c:f>Report!$F$52</c:f>
              <c:strCache>
                <c:ptCount val="1"/>
                <c:pt idx="0">
                  <c:v>Count</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B-4414-ACBC-9D67D2C6E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B-4414-ACBC-9D67D2C6E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B-4414-ACBC-9D67D2C6E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B-4414-ACBC-9D67D2C6EE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B-4414-ACBC-9D67D2C6E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Report!$E$53:$E$59</c15:sqref>
                  </c15:fullRef>
                </c:ext>
              </c:extLst>
              <c:f>Report!$E$53:$E$57</c:f>
              <c:strCache>
                <c:ptCount val="5"/>
                <c:pt idx="0">
                  <c:v>19 or lower</c:v>
                </c:pt>
                <c:pt idx="1">
                  <c:v>20-34</c:v>
                </c:pt>
                <c:pt idx="2">
                  <c:v>35-49</c:v>
                </c:pt>
                <c:pt idx="3">
                  <c:v>50-64</c:v>
                </c:pt>
                <c:pt idx="4">
                  <c:v>65 or higher</c:v>
                </c:pt>
              </c:strCache>
            </c:strRef>
          </c:cat>
          <c:val>
            <c:numRef>
              <c:extLst>
                <c:ext xmlns:c15="http://schemas.microsoft.com/office/drawing/2012/chart" uri="{02D57815-91ED-43cb-92C2-25804820EDAC}">
                  <c15:fullRef>
                    <c15:sqref>Report!$F$53:$F$59</c15:sqref>
                  </c15:fullRef>
                </c:ext>
              </c:extLst>
              <c:f>Report!$F$53:$F$57</c:f>
              <c:numCache>
                <c:formatCode>General</c:formatCode>
                <c:ptCount val="5"/>
                <c:pt idx="0">
                  <c:v>2</c:v>
                </c:pt>
                <c:pt idx="1">
                  <c:v>13</c:v>
                </c:pt>
                <c:pt idx="2">
                  <c:v>9</c:v>
                </c:pt>
                <c:pt idx="3">
                  <c:v>6</c:v>
                </c:pt>
                <c:pt idx="4">
                  <c:v>0</c:v>
                </c:pt>
              </c:numCache>
            </c:numRef>
          </c:val>
          <c:extLst>
            <c:ext xmlns:c15="http://schemas.microsoft.com/office/drawing/2012/chart" uri="{02D57815-91ED-43cb-92C2-25804820EDAC}">
              <c15:categoryFilterExceptions>
                <c15:categoryFilterException>
                  <c15:sqref>Report!$F$58</c15:sqref>
                  <c15:spPr xmlns:c15="http://schemas.microsoft.com/office/drawing/2012/chart">
                    <a:solidFill>
                      <a:schemeClr val="accent6"/>
                    </a:solidFill>
                    <a:ln w="19050">
                      <a:solidFill>
                        <a:schemeClr val="lt1"/>
                      </a:solidFill>
                    </a:ln>
                    <a:effectLst/>
                  </c15:spPr>
                  <c15:bubble3D val="0"/>
                </c15:categoryFilterException>
                <c15:categoryFilterException>
                  <c15:sqref>Report!$F$59</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43EB-4414-ACBC-9D67D2C6EE19}"/>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Report!$G$52</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43EB-4414-ACBC-9D67D2C6E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43EB-4414-ACBC-9D67D2C6E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43EB-4414-ACBC-9D67D2C6EE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43EB-4414-ACBC-9D67D2C6EE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43EB-4414-ACBC-9D67D2C6EE19}"/>
                    </c:ext>
                  </c:extLst>
                </c:dPt>
                <c:cat>
                  <c:strRef>
                    <c:extLst>
                      <c:ext uri="{02D57815-91ED-43cb-92C2-25804820EDAC}">
                        <c15:fullRef>
                          <c15:sqref>Report!$E$53:$E$59</c15:sqref>
                        </c15:fullRef>
                        <c15:formulaRef>
                          <c15:sqref>Report!$E$53:$E$57</c15:sqref>
                        </c15:formulaRef>
                      </c:ext>
                    </c:extLst>
                    <c:strCache>
                      <c:ptCount val="5"/>
                      <c:pt idx="0">
                        <c:v>19 or lower</c:v>
                      </c:pt>
                      <c:pt idx="1">
                        <c:v>20-34</c:v>
                      </c:pt>
                      <c:pt idx="2">
                        <c:v>35-49</c:v>
                      </c:pt>
                      <c:pt idx="3">
                        <c:v>50-64</c:v>
                      </c:pt>
                      <c:pt idx="4">
                        <c:v>65 or higher</c:v>
                      </c:pt>
                    </c:strCache>
                  </c:strRef>
                </c:cat>
                <c:val>
                  <c:numRef>
                    <c:extLst>
                      <c:ext uri="{02D57815-91ED-43cb-92C2-25804820EDAC}">
                        <c15:fullRef>
                          <c15:sqref>Report!$G$53:$G$59</c15:sqref>
                        </c15:fullRef>
                        <c15:formulaRef>
                          <c15:sqref>Report!$G$53:$G$57</c15:sqref>
                        </c15:formulaRef>
                      </c:ext>
                    </c:extLst>
                    <c:numCache>
                      <c:formatCode>0.00%</c:formatCode>
                      <c:ptCount val="5"/>
                      <c:pt idx="0">
                        <c:v>6.4516129032258063E-2</c:v>
                      </c:pt>
                      <c:pt idx="1">
                        <c:v>0.41935483870967744</c:v>
                      </c:pt>
                      <c:pt idx="2">
                        <c:v>0.29032258064516131</c:v>
                      </c:pt>
                      <c:pt idx="3">
                        <c:v>0.19354838709677419</c:v>
                      </c:pt>
                      <c:pt idx="4">
                        <c:v>0</c:v>
                      </c:pt>
                    </c:numCache>
                  </c:numRef>
                </c:val>
                <c:extLst>
                  <c:ext uri="{02D57815-91ED-43cb-92C2-25804820EDAC}">
                    <c15:categoryFilterExceptions>
                      <c15:categoryFilterException>
                        <c15:sqref>Report!$G$58</c15:sqref>
                        <c15:spPr xmlns:c15="http://schemas.microsoft.com/office/drawing/2012/chart">
                          <a:solidFill>
                            <a:schemeClr val="accent6"/>
                          </a:solidFill>
                          <a:ln w="19050">
                            <a:solidFill>
                              <a:schemeClr val="lt1"/>
                            </a:solidFill>
                          </a:ln>
                          <a:effectLst/>
                        </c15:spPr>
                        <c15:bubble3D val="0"/>
                      </c15:categoryFilterException>
                      <c15:categoryFilterException>
                        <c15:sqref>Report!$G$59</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D-43EB-4414-ACBC-9D67D2C6EE19}"/>
                  </c:ext>
                </c:extLst>
              </c15:ser>
            </c15:filteredPieSeries>
          </c:ext>
        </c:extLst>
      </c:pieChart>
      <c:spPr>
        <a:noFill/>
        <a:ln>
          <a:noFill/>
        </a:ln>
        <a:effectLst/>
      </c:spPr>
    </c:plotArea>
    <c:legend>
      <c:legendPos val="b"/>
      <c:layout>
        <c:manualLayout>
          <c:xMode val="edge"/>
          <c:yMode val="edge"/>
          <c:x val="0.68757413486601737"/>
          <c:y val="0.22852992090891214"/>
          <c:w val="0.27307216629767372"/>
          <c:h val="0.51567008429131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Client</a:t>
            </a:r>
            <a:r>
              <a:rPr lang="en-PH" baseline="0"/>
              <a:t> Type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0.21285702665186737"/>
          <c:y val="0.21825240227204498"/>
          <c:w val="0.4976391961143955"/>
          <c:h val="0.68347959776111089"/>
        </c:manualLayout>
      </c:layout>
      <c:pieChart>
        <c:varyColors val="1"/>
        <c:ser>
          <c:idx val="0"/>
          <c:order val="0"/>
          <c:tx>
            <c:strRef>
              <c:f>Report!$F$62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2-4488-A809-C2E3088E5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2-4488-A809-C2E3088E5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52-4488-A809-C2E3088E5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7C-4646-86A2-E347F5ECA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Report!$E$63:$E$67</c15:sqref>
                  </c15:fullRef>
                </c:ext>
              </c:extLst>
              <c:f>(Report!$E$63:$E$65,Report!$E$67)</c:f>
              <c:strCache>
                <c:ptCount val="4"/>
                <c:pt idx="0">
                  <c:v>Citizen</c:v>
                </c:pt>
                <c:pt idx="1">
                  <c:v>Business</c:v>
                </c:pt>
                <c:pt idx="2">
                  <c:v>Government</c:v>
                </c:pt>
                <c:pt idx="3">
                  <c:v>TOTAL</c:v>
                </c:pt>
              </c:strCache>
            </c:strRef>
          </c:cat>
          <c:val>
            <c:numRef>
              <c:extLst>
                <c:ext xmlns:c15="http://schemas.microsoft.com/office/drawing/2012/chart" uri="{02D57815-91ED-43cb-92C2-25804820EDAC}">
                  <c15:fullRef>
                    <c15:sqref>Report!$F$63:$F$67</c15:sqref>
                  </c15:fullRef>
                </c:ext>
              </c:extLst>
              <c:f>(Report!$F$63:$F$65,Report!$F$67)</c:f>
              <c:numCache>
                <c:formatCode>General</c:formatCode>
                <c:ptCount val="4"/>
                <c:pt idx="0">
                  <c:v>6</c:v>
                </c:pt>
                <c:pt idx="1">
                  <c:v>18</c:v>
                </c:pt>
                <c:pt idx="2">
                  <c:v>6</c:v>
                </c:pt>
                <c:pt idx="3">
                  <c:v>31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BB52-4488-A809-C2E3088E5D17}"/>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Report!$G$62</c15:sqref>
                        </c15:formulaRef>
                      </c:ext>
                    </c:extLst>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B52-4488-A809-C2E3088E5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BB52-4488-A809-C2E3088E5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BB52-4488-A809-C2E3088E5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DE7C-4646-86A2-E347F5ECA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Report!$E$63:$E$67</c15:sqref>
                        </c15:fullRef>
                        <c15:formulaRef>
                          <c15:sqref>(Report!$E$63:$E$65,Report!$E$67)</c15:sqref>
                        </c15:formulaRef>
                      </c:ext>
                    </c:extLst>
                    <c:strCache>
                      <c:ptCount val="4"/>
                      <c:pt idx="0">
                        <c:v>Citizen</c:v>
                      </c:pt>
                      <c:pt idx="1">
                        <c:v>Business</c:v>
                      </c:pt>
                      <c:pt idx="2">
                        <c:v>Government</c:v>
                      </c:pt>
                      <c:pt idx="3">
                        <c:v>TOTAL</c:v>
                      </c:pt>
                    </c:strCache>
                  </c:strRef>
                </c:cat>
                <c:val>
                  <c:numRef>
                    <c:extLst>
                      <c:ext uri="{02D57815-91ED-43cb-92C2-25804820EDAC}">
                        <c15:fullRef>
                          <c15:sqref>Report!$G$63:$G$67</c15:sqref>
                        </c15:fullRef>
                        <c15:formulaRef>
                          <c15:sqref>(Report!$G$63:$G$65,Report!$G$67)</c15:sqref>
                        </c15:formulaRef>
                      </c:ext>
                    </c:extLst>
                    <c:numCache>
                      <c:formatCode>0.00%</c:formatCode>
                      <c:ptCount val="4"/>
                      <c:pt idx="0">
                        <c:v>0.19354838709677419</c:v>
                      </c:pt>
                      <c:pt idx="1">
                        <c:v>0.58064516129032262</c:v>
                      </c:pt>
                      <c:pt idx="2">
                        <c:v>0.19354838709677419</c:v>
                      </c:pt>
                      <c:pt idx="3">
                        <c:v>1</c:v>
                      </c:pt>
                    </c:numCache>
                  </c:numRef>
                </c:val>
                <c:extLst>
                  <c:ext uri="{02D57815-91ED-43cb-92C2-25804820EDAC}">
                    <c15:categoryFilterExceptions/>
                  </c:ext>
                  <c:ext xmlns:c16="http://schemas.microsoft.com/office/drawing/2014/chart" uri="{C3380CC4-5D6E-409C-BE32-E72D297353CC}">
                    <c16:uniqueId val="{00000011-BB52-4488-A809-C2E3088E5D17}"/>
                  </c:ext>
                </c:extLst>
              </c15:ser>
            </c15:filteredPieSeries>
          </c:ext>
        </c:extLst>
      </c:pieChart>
      <c:spPr>
        <a:noFill/>
        <a:ln>
          <a:noFill/>
        </a:ln>
        <a:effectLst/>
      </c:spPr>
    </c:plotArea>
    <c:legend>
      <c:legendPos val="b"/>
      <c:layout>
        <c:manualLayout>
          <c:xMode val="edge"/>
          <c:yMode val="edge"/>
          <c:x val="0.75693083139439377"/>
          <c:y val="0.29364264685794478"/>
          <c:w val="0.17314105568898677"/>
          <c:h val="0.46451008533136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206828</xdr:colOff>
      <xdr:row>0</xdr:row>
      <xdr:rowOff>119742</xdr:rowOff>
    </xdr:from>
    <xdr:to>
      <xdr:col>0</xdr:col>
      <xdr:colOff>1877277</xdr:colOff>
      <xdr:row>4</xdr:row>
      <xdr:rowOff>134616</xdr:rowOff>
    </xdr:to>
    <xdr:pic>
      <xdr:nvPicPr>
        <xdr:cNvPr id="3" name="Picture 2">
          <a:extLst>
            <a:ext uri="{FF2B5EF4-FFF2-40B4-BE49-F238E27FC236}">
              <a16:creationId xmlns:a16="http://schemas.microsoft.com/office/drawing/2014/main" id="{FB25BD53-5C55-4B25-AA50-BCAE3DF5ACCC}"/>
            </a:ext>
          </a:extLst>
        </xdr:cNvPr>
        <xdr:cNvPicPr>
          <a:picLocks noChangeAspect="1"/>
        </xdr:cNvPicPr>
      </xdr:nvPicPr>
      <xdr:blipFill>
        <a:blip xmlns:r="http://schemas.openxmlformats.org/officeDocument/2006/relationships" r:embed="rId1"/>
        <a:stretch>
          <a:fillRect/>
        </a:stretch>
      </xdr:blipFill>
      <xdr:spPr>
        <a:xfrm>
          <a:off x="206828" y="119742"/>
          <a:ext cx="1670449" cy="798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26669</xdr:colOff>
      <xdr:row>4</xdr:row>
      <xdr:rowOff>15240</xdr:rowOff>
    </xdr:from>
    <xdr:to>
      <xdr:col>6</xdr:col>
      <xdr:colOff>413656</xdr:colOff>
      <xdr:row>18</xdr:row>
      <xdr:rowOff>7620</xdr:rowOff>
    </xdr:to>
    <xdr:graphicFrame macro="">
      <xdr:nvGraphicFramePr>
        <xdr:cNvPr id="10" name="Chart 9">
          <a:extLst>
            <a:ext uri="{FF2B5EF4-FFF2-40B4-BE49-F238E27FC236}">
              <a16:creationId xmlns:a16="http://schemas.microsoft.com/office/drawing/2014/main" id="{DE7D2FFC-E0BF-4970-A196-D47EC88A4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3585</xdr:colOff>
      <xdr:row>37</xdr:row>
      <xdr:rowOff>190499</xdr:rowOff>
    </xdr:from>
    <xdr:to>
      <xdr:col>6</xdr:col>
      <xdr:colOff>402770</xdr:colOff>
      <xdr:row>54</xdr:row>
      <xdr:rowOff>0</xdr:rowOff>
    </xdr:to>
    <xdr:graphicFrame macro="">
      <xdr:nvGraphicFramePr>
        <xdr:cNvPr id="13" name="Chart 12">
          <a:extLst>
            <a:ext uri="{FF2B5EF4-FFF2-40B4-BE49-F238E27FC236}">
              <a16:creationId xmlns:a16="http://schemas.microsoft.com/office/drawing/2014/main" id="{55351707-9CDE-45C5-AA3A-361FC210E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30736</xdr:colOff>
      <xdr:row>38</xdr:row>
      <xdr:rowOff>5443</xdr:rowOff>
    </xdr:from>
    <xdr:to>
      <xdr:col>12</xdr:col>
      <xdr:colOff>505866</xdr:colOff>
      <xdr:row>54</xdr:row>
      <xdr:rowOff>1023</xdr:rowOff>
    </xdr:to>
    <xdr:graphicFrame macro="">
      <xdr:nvGraphicFramePr>
        <xdr:cNvPr id="17" name="Chart 16">
          <a:extLst>
            <a:ext uri="{FF2B5EF4-FFF2-40B4-BE49-F238E27FC236}">
              <a16:creationId xmlns:a16="http://schemas.microsoft.com/office/drawing/2014/main" id="{0F0E2835-BA47-4967-81C6-394E31D3B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642257</xdr:colOff>
      <xdr:row>55</xdr:row>
      <xdr:rowOff>85614</xdr:rowOff>
    </xdr:from>
    <xdr:to>
      <xdr:col>6</xdr:col>
      <xdr:colOff>470807</xdr:colOff>
      <xdr:row>71</xdr:row>
      <xdr:rowOff>57376</xdr:rowOff>
    </xdr:to>
    <xdr:graphicFrame macro="">
      <xdr:nvGraphicFramePr>
        <xdr:cNvPr id="18" name="Chart 17">
          <a:extLst>
            <a:ext uri="{FF2B5EF4-FFF2-40B4-BE49-F238E27FC236}">
              <a16:creationId xmlns:a16="http://schemas.microsoft.com/office/drawing/2014/main" id="{35005599-578B-4835-B066-947B5032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19465</xdr:colOff>
      <xdr:row>55</xdr:row>
      <xdr:rowOff>97172</xdr:rowOff>
    </xdr:from>
    <xdr:to>
      <xdr:col>12</xdr:col>
      <xdr:colOff>506184</xdr:colOff>
      <xdr:row>71</xdr:row>
      <xdr:rowOff>120032</xdr:rowOff>
    </xdr:to>
    <xdr:graphicFrame macro="">
      <xdr:nvGraphicFramePr>
        <xdr:cNvPr id="19" name="Chart 18">
          <a:extLst>
            <a:ext uri="{FF2B5EF4-FFF2-40B4-BE49-F238E27FC236}">
              <a16:creationId xmlns:a16="http://schemas.microsoft.com/office/drawing/2014/main" id="{EF551DFC-DD09-4FD9-AAF5-66F7857E7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625480</xdr:colOff>
      <xdr:row>73</xdr:row>
      <xdr:rowOff>150319</xdr:rowOff>
    </xdr:from>
    <xdr:to>
      <xdr:col>6</xdr:col>
      <xdr:colOff>406517</xdr:colOff>
      <xdr:row>89</xdr:row>
      <xdr:rowOff>146957</xdr:rowOff>
    </xdr:to>
    <xdr:graphicFrame macro="">
      <xdr:nvGraphicFramePr>
        <xdr:cNvPr id="20" name="Chart 19">
          <a:extLst>
            <a:ext uri="{FF2B5EF4-FFF2-40B4-BE49-F238E27FC236}">
              <a16:creationId xmlns:a16="http://schemas.microsoft.com/office/drawing/2014/main" id="{AADAE8C0-2E48-447F-9CAC-7523B4C55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22860</xdr:colOff>
      <xdr:row>73</xdr:row>
      <xdr:rowOff>182336</xdr:rowOff>
    </xdr:from>
    <xdr:to>
      <xdr:col>12</xdr:col>
      <xdr:colOff>514350</xdr:colOff>
      <xdr:row>90</xdr:row>
      <xdr:rowOff>11430</xdr:rowOff>
    </xdr:to>
    <xdr:graphicFrame macro="">
      <xdr:nvGraphicFramePr>
        <xdr:cNvPr id="21" name="Chart 20">
          <a:extLst>
            <a:ext uri="{FF2B5EF4-FFF2-40B4-BE49-F238E27FC236}">
              <a16:creationId xmlns:a16="http://schemas.microsoft.com/office/drawing/2014/main" id="{9AEC6503-15B8-4C9B-8844-828D95778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666207</xdr:colOff>
      <xdr:row>91</xdr:row>
      <xdr:rowOff>136615</xdr:rowOff>
    </xdr:from>
    <xdr:to>
      <xdr:col>6</xdr:col>
      <xdr:colOff>410936</xdr:colOff>
      <xdr:row>107</xdr:row>
      <xdr:rowOff>167094</xdr:rowOff>
    </xdr:to>
    <xdr:graphicFrame macro="">
      <xdr:nvGraphicFramePr>
        <xdr:cNvPr id="9" name="Chart 8">
          <a:extLst>
            <a:ext uri="{FF2B5EF4-FFF2-40B4-BE49-F238E27FC236}">
              <a16:creationId xmlns:a16="http://schemas.microsoft.com/office/drawing/2014/main" id="{5A0F1976-773C-4F20-A3A7-92B1D560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38101</xdr:colOff>
      <xdr:row>91</xdr:row>
      <xdr:rowOff>174170</xdr:rowOff>
    </xdr:from>
    <xdr:to>
      <xdr:col>12</xdr:col>
      <xdr:colOff>495301</xdr:colOff>
      <xdr:row>108</xdr:row>
      <xdr:rowOff>8706</xdr:rowOff>
    </xdr:to>
    <xdr:graphicFrame macro="">
      <xdr:nvGraphicFramePr>
        <xdr:cNvPr id="11" name="Chart 10">
          <a:extLst>
            <a:ext uri="{FF2B5EF4-FFF2-40B4-BE49-F238E27FC236}">
              <a16:creationId xmlns:a16="http://schemas.microsoft.com/office/drawing/2014/main" id="{41C8EDD3-0A53-4518-B415-A542C811D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15240</xdr:colOff>
      <xdr:row>4</xdr:row>
      <xdr:rowOff>10885</xdr:rowOff>
    </xdr:from>
    <xdr:to>
      <xdr:col>12</xdr:col>
      <xdr:colOff>429491</xdr:colOff>
      <xdr:row>18</xdr:row>
      <xdr:rowOff>7620</xdr:rowOff>
    </xdr:to>
    <xdr:graphicFrame macro="">
      <xdr:nvGraphicFramePr>
        <xdr:cNvPr id="12" name="Chart 11">
          <a:extLst>
            <a:ext uri="{FF2B5EF4-FFF2-40B4-BE49-F238E27FC236}">
              <a16:creationId xmlns:a16="http://schemas.microsoft.com/office/drawing/2014/main" id="{4B87E339-2396-4979-A2F8-C145A6052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641269</xdr:colOff>
      <xdr:row>19</xdr:row>
      <xdr:rowOff>153486</xdr:rowOff>
    </xdr:from>
    <xdr:to>
      <xdr:col>6</xdr:col>
      <xdr:colOff>413657</xdr:colOff>
      <xdr:row>33</xdr:row>
      <xdr:rowOff>185055</xdr:rowOff>
    </xdr:to>
    <xdr:graphicFrame macro="">
      <xdr:nvGraphicFramePr>
        <xdr:cNvPr id="14" name="Chart 13">
          <a:extLst>
            <a:ext uri="{FF2B5EF4-FFF2-40B4-BE49-F238E27FC236}">
              <a16:creationId xmlns:a16="http://schemas.microsoft.com/office/drawing/2014/main" id="{EC11AA27-176F-459F-8374-C02F5694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ulation_Frontline" displayName="Tabulation_Frontline" ref="B8:R505" headerRowDxfId="35" dataDxfId="34" totalsRowDxfId="33">
  <tableColumns count="17">
    <tableColumn id="1" xr3:uid="{00000000-0010-0000-0000-000001000000}" name="No." dataDxfId="32"/>
    <tableColumn id="2" xr3:uid="{00000000-0010-0000-0000-000002000000}" name="Name/Codename" dataDxfId="31"/>
    <tableColumn id="3" xr3:uid="{00000000-0010-0000-0000-000003000000}" name="Age Group" dataDxfId="30"/>
    <tableColumn id="4" xr3:uid="{00000000-0010-0000-0000-000004000000}" name="Sex" dataDxfId="29"/>
    <tableColumn id="5" xr3:uid="{00000000-0010-0000-0000-000005000000}" name="Client Type" dataDxfId="28"/>
    <tableColumn id="6" xr3:uid="{00000000-0010-0000-0000-000006000000}" name="CC1" dataDxfId="27"/>
    <tableColumn id="7" xr3:uid="{00000000-0010-0000-0000-000007000000}" name="CC2" dataDxfId="26"/>
    <tableColumn id="8" xr3:uid="{00000000-0010-0000-0000-000008000000}" name="CC3" dataDxfId="25"/>
    <tableColumn id="17" xr3:uid="{CAF48180-21A5-46E1-881E-FE36325CFEA6}" name="Overall Rating/SQD 0" dataDxfId="24"/>
    <tableColumn id="9" xr3:uid="{00000000-0010-0000-0000-000009000000}" name="Responsiveness" dataDxfId="23"/>
    <tableColumn id="10" xr3:uid="{00000000-0010-0000-0000-00000A000000}" name="Reliability" dataDxfId="22"/>
    <tableColumn id="11" xr3:uid="{00000000-0010-0000-0000-00000B000000}" name="Access and Facilities" dataDxfId="21"/>
    <tableColumn id="12" xr3:uid="{00000000-0010-0000-0000-00000C000000}" name="Communication" dataDxfId="20"/>
    <tableColumn id="13" xr3:uid="{00000000-0010-0000-0000-00000D000000}" name="Costs" dataDxfId="19"/>
    <tableColumn id="14" xr3:uid="{00000000-0010-0000-0000-00000E000000}" name="Integrity" dataDxfId="18"/>
    <tableColumn id="15" xr3:uid="{00000000-0010-0000-0000-00000F000000}" name="Assurance" dataDxfId="17"/>
    <tableColumn id="16" xr3:uid="{00000000-0010-0000-0000-000010000000}" name="Outcome" dataDxfId="16"/>
  </tableColumns>
  <tableStyleInfo name="Tabulation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D0EA37-5481-4F86-8CAB-9341CF4ADEF3}" name="Tabulation_Frontline6" displayName="Tabulation_Frontline6" ref="B8:N506" headerRowDxfId="15">
  <tableColumns count="13">
    <tableColumn id="1" xr3:uid="{E9397D4D-C989-4469-A0CE-D669CEB8B4FB}" name="No." dataDxfId="14">
      <calculatedColumnFormula>'Tabulation Sheet'!B9</calculatedColumnFormula>
    </tableColumn>
    <tableColumn id="2" xr3:uid="{F42AB66E-B3B6-4F6D-AD10-E458776E9C2E}" name="Name/Codename" dataDxfId="13">
      <calculatedColumnFormula>'Tabulation Sheet'!C9</calculatedColumnFormula>
    </tableColumn>
    <tableColumn id="3" xr3:uid="{0EABD891-1D1A-4A46-9A26-9CFE798B4E20}" name="Age Group" dataDxfId="12">
      <calculatedColumnFormula>'Tabulation Sheet'!D9</calculatedColumnFormula>
    </tableColumn>
    <tableColumn id="4" xr3:uid="{59E9C19E-2F7F-4E74-8BDD-E35BCFCEA295}" name="Sex">
      <calculatedColumnFormula>'Tabulation Sheet'!E9</calculatedColumnFormula>
    </tableColumn>
    <tableColumn id="5" xr3:uid="{ADF6EDA3-C965-4233-AD38-0C90069D028A}" name="Client Type">
      <calculatedColumnFormula>'Tabulation Sheet'!F9</calculatedColumnFormula>
    </tableColumn>
    <tableColumn id="17" xr3:uid="{6DB98DD2-0895-4FEC-89DF-618E7E172F05}" name="Speaker 1" dataDxfId="11"/>
    <tableColumn id="9" xr3:uid="{FB7CBA08-7DF3-40E1-B5EC-DE915E0EAC8C}" name="Speaker 2" dataDxfId="10"/>
    <tableColumn id="10" xr3:uid="{9E0AB2F2-0EEF-4815-9518-4D58DABFCEEF}" name="Speaker 3" dataDxfId="9"/>
    <tableColumn id="11" xr3:uid="{7A71B116-318A-4955-ABBA-7361A0B8BC57}" name="Speaker 4" dataDxfId="8"/>
    <tableColumn id="12" xr3:uid="{064E79E8-18B2-43A6-8DDD-94EE4F6664B4}" name="Speaker 5" dataDxfId="7"/>
    <tableColumn id="19" xr3:uid="{E353E1A9-F8AE-4653-BAC9-1688C4387AE4}" name="Speaker 6" dataDxfId="6"/>
    <tableColumn id="20" xr3:uid="{1A1B2379-1815-4569-AFE1-C9FFC8AAD6FB}" name="Speaker 7" dataDxfId="5"/>
    <tableColumn id="21" xr3:uid="{CAE7C49D-C09E-485C-A3B4-CBE065010BA6}" name="Speaker 8" dataDxfId="4"/>
  </tableColumns>
  <tableStyleInfo name="Tabulation Shee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wareness" displayName="Awareness" ref="A43:C49">
  <tableColumns count="3">
    <tableColumn id="1" xr3:uid="{00000000-0010-0000-0100-000001000000}" name="CC1 - Awareness of the Citizen's Charter" dataDxfId="3"/>
    <tableColumn id="2" xr3:uid="{00000000-0010-0000-0100-000002000000}" name="# of Responses"/>
    <tableColumn id="3" xr3:uid="{00000000-0010-0000-0100-000003000000}" name="% Distribution"/>
  </tableColumns>
  <tableStyleInfo name="Citizens Char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sibility" displayName="Visibility" ref="A52:C59" headerRowDxfId="2">
  <tableColumns count="3">
    <tableColumn id="1" xr3:uid="{00000000-0010-0000-0200-000001000000}" name="CC2 - Visibility of the Citizen's Charter"/>
    <tableColumn id="2" xr3:uid="{00000000-0010-0000-0200-000002000000}" name="# of Responses"/>
    <tableColumn id="3" xr3:uid="{00000000-0010-0000-0200-000003000000}" name="% Distribution"/>
  </tableColumns>
  <tableStyleInfo name="Citizens Charter-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sefulness" displayName="Usefulness" ref="A62:C67" headerRowDxfId="1">
  <tableColumns count="3">
    <tableColumn id="1" xr3:uid="{00000000-0010-0000-0300-000001000000}" name="CC3 - Usefulness of the Citizen's Charter"/>
    <tableColumn id="2" xr3:uid="{00000000-0010-0000-0300-000002000000}" name="# of Responses"/>
    <tableColumn id="3" xr3:uid="{00000000-0010-0000-0300-000003000000}" name="% Distribution" dataDxfId="0"/>
  </tableColumns>
  <tableStyleInfo name="Citizens Charter-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BC1A-FCE2-4925-B846-C94C06E05967}">
  <dimension ref="B1:S24"/>
  <sheetViews>
    <sheetView workbookViewId="0">
      <selection activeCell="D20" sqref="D20"/>
    </sheetView>
  </sheetViews>
  <sheetFormatPr defaultRowHeight="15.6"/>
  <sheetData>
    <row r="1" spans="2:19">
      <c r="B1" s="30" t="s">
        <v>0</v>
      </c>
      <c r="H1" s="30"/>
      <c r="J1" s="30" t="s">
        <v>1</v>
      </c>
      <c r="R1" s="30" t="s">
        <v>2</v>
      </c>
    </row>
    <row r="2" spans="2:19">
      <c r="B2" s="56" t="s">
        <v>3</v>
      </c>
      <c r="H2" s="43"/>
      <c r="J2" s="31">
        <v>1</v>
      </c>
      <c r="K2" t="s">
        <v>4</v>
      </c>
      <c r="R2" s="31">
        <v>5</v>
      </c>
      <c r="S2" s="43" t="s">
        <v>5</v>
      </c>
    </row>
    <row r="3" spans="2:19">
      <c r="B3" s="56" t="s">
        <v>6</v>
      </c>
      <c r="H3" s="43"/>
      <c r="J3" s="31">
        <v>2</v>
      </c>
      <c r="K3" t="s">
        <v>7</v>
      </c>
      <c r="R3" s="31">
        <v>4</v>
      </c>
      <c r="S3" s="43" t="s">
        <v>8</v>
      </c>
    </row>
    <row r="4" spans="2:19">
      <c r="B4" s="56" t="s">
        <v>9</v>
      </c>
      <c r="J4" s="31">
        <v>3</v>
      </c>
      <c r="K4" t="s">
        <v>10</v>
      </c>
      <c r="R4" s="31">
        <v>3</v>
      </c>
      <c r="S4" s="43" t="s">
        <v>11</v>
      </c>
    </row>
    <row r="5" spans="2:19">
      <c r="B5" s="56" t="s">
        <v>12</v>
      </c>
      <c r="J5" s="31">
        <v>4</v>
      </c>
      <c r="K5" t="s">
        <v>13</v>
      </c>
      <c r="R5" s="31">
        <v>2</v>
      </c>
      <c r="S5" s="43" t="s">
        <v>14</v>
      </c>
    </row>
    <row r="6" spans="2:19">
      <c r="B6" s="57" t="s">
        <v>15</v>
      </c>
      <c r="J6" s="31" t="s">
        <v>16</v>
      </c>
      <c r="K6" t="s">
        <v>17</v>
      </c>
      <c r="R6" s="31">
        <v>1</v>
      </c>
      <c r="S6" s="43" t="s">
        <v>18</v>
      </c>
    </row>
    <row r="7" spans="2:19">
      <c r="B7" s="56" t="s">
        <v>19</v>
      </c>
      <c r="R7" s="31" t="s">
        <v>16</v>
      </c>
      <c r="S7" t="s">
        <v>17</v>
      </c>
    </row>
    <row r="9" spans="2:19">
      <c r="J9" s="30" t="s">
        <v>20</v>
      </c>
    </row>
    <row r="10" spans="2:19">
      <c r="B10" s="57"/>
      <c r="J10" s="31">
        <v>1</v>
      </c>
      <c r="K10" t="s">
        <v>21</v>
      </c>
    </row>
    <row r="11" spans="2:19">
      <c r="B11" s="56"/>
      <c r="J11" s="31">
        <v>2</v>
      </c>
      <c r="K11" t="s">
        <v>22</v>
      </c>
    </row>
    <row r="12" spans="2:19">
      <c r="B12" s="56"/>
      <c r="J12" s="31">
        <v>3</v>
      </c>
      <c r="K12" t="s">
        <v>23</v>
      </c>
    </row>
    <row r="13" spans="2:19">
      <c r="B13" s="56"/>
      <c r="J13" s="31">
        <v>4</v>
      </c>
      <c r="K13" t="s">
        <v>24</v>
      </c>
    </row>
    <row r="14" spans="2:19">
      <c r="B14" s="56"/>
      <c r="J14" s="31" t="s">
        <v>16</v>
      </c>
      <c r="K14" t="s">
        <v>17</v>
      </c>
    </row>
    <row r="15" spans="2:19">
      <c r="B15" s="56"/>
      <c r="J15" s="31"/>
    </row>
    <row r="16" spans="2:19">
      <c r="B16" s="56"/>
      <c r="C16" s="55"/>
      <c r="D16" s="55"/>
      <c r="E16" s="55"/>
    </row>
    <row r="17" spans="2:11">
      <c r="B17" s="56"/>
    </row>
    <row r="18" spans="2:11">
      <c r="B18" s="56"/>
      <c r="J18" s="30" t="s">
        <v>25</v>
      </c>
    </row>
    <row r="19" spans="2:11">
      <c r="J19" s="31">
        <v>1</v>
      </c>
      <c r="K19" t="s">
        <v>26</v>
      </c>
    </row>
    <row r="20" spans="2:11">
      <c r="J20" s="31">
        <v>2</v>
      </c>
      <c r="K20" t="s">
        <v>27</v>
      </c>
    </row>
    <row r="21" spans="2:11">
      <c r="B21" s="56"/>
      <c r="J21" s="31">
        <v>3</v>
      </c>
      <c r="K21" t="s">
        <v>28</v>
      </c>
    </row>
    <row r="22" spans="2:11">
      <c r="J22" s="31" t="s">
        <v>16</v>
      </c>
      <c r="K22" t="s">
        <v>17</v>
      </c>
    </row>
    <row r="23" spans="2:11">
      <c r="J23" s="31"/>
    </row>
    <row r="24" spans="2:11">
      <c r="J24"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1006"/>
  <sheetViews>
    <sheetView showGridLines="0" zoomScale="55" zoomScaleNormal="55" workbookViewId="0">
      <pane ySplit="8" topLeftCell="A9" activePane="bottomLeft" state="frozen"/>
      <selection pane="bottomLeft" activeCell="J11" sqref="J11"/>
      <selection activeCell="D20" sqref="D20"/>
    </sheetView>
  </sheetViews>
  <sheetFormatPr defaultColWidth="11.25" defaultRowHeight="15" customHeight="1"/>
  <cols>
    <col min="1" max="1" width="3.625" style="46" customWidth="1"/>
    <col min="2" max="2" width="8.75" style="93" customWidth="1"/>
    <col min="3" max="3" width="18" style="46" customWidth="1"/>
    <col min="4" max="4" width="15.625" style="46" customWidth="1"/>
    <col min="5" max="6" width="16" style="46" customWidth="1"/>
    <col min="7" max="9" width="18.25" style="46" customWidth="1"/>
    <col min="10" max="10" width="27.75" style="46" customWidth="1"/>
    <col min="11" max="11" width="21.75" style="46" customWidth="1"/>
    <col min="12" max="12" width="17.75" style="46" customWidth="1"/>
    <col min="13" max="13" width="27.75" style="46" customWidth="1"/>
    <col min="14" max="14" width="22.5" style="46" customWidth="1"/>
    <col min="15" max="15" width="16.625" style="46" customWidth="1"/>
    <col min="16" max="16" width="19.25" style="46" customWidth="1"/>
    <col min="17" max="17" width="17.875" style="46" customWidth="1"/>
    <col min="18" max="18" width="17" style="46" customWidth="1"/>
    <col min="19" max="30" width="10.625" style="46" customWidth="1"/>
    <col min="31" max="16384" width="11.25" style="46"/>
  </cols>
  <sheetData>
    <row r="2" spans="2:21" ht="15" customHeight="1">
      <c r="B2" s="122" t="s">
        <v>29</v>
      </c>
      <c r="Q2" s="114" t="s">
        <v>30</v>
      </c>
      <c r="R2" s="115" t="s">
        <v>31</v>
      </c>
    </row>
    <row r="3" spans="2:21" ht="15" customHeight="1">
      <c r="B3" s="151" t="s">
        <v>32</v>
      </c>
      <c r="C3" s="150" t="str">
        <f>Report!A7</f>
        <v>[Bureau/Office]</v>
      </c>
      <c r="D3" s="150"/>
      <c r="E3" s="150"/>
      <c r="Q3" s="114" t="s">
        <v>33</v>
      </c>
      <c r="R3" s="116">
        <v>0</v>
      </c>
    </row>
    <row r="4" spans="2:21" ht="15" customHeight="1">
      <c r="B4" s="151" t="s">
        <v>34</v>
      </c>
      <c r="C4" s="150">
        <f>Report!B10</f>
        <v>0</v>
      </c>
      <c r="D4" s="150"/>
      <c r="E4" s="150"/>
      <c r="Q4" s="114" t="s">
        <v>35</v>
      </c>
      <c r="R4" s="117" t="s">
        <v>36</v>
      </c>
    </row>
    <row r="5" spans="2:21" ht="15" customHeight="1">
      <c r="B5" s="151" t="s">
        <v>37</v>
      </c>
      <c r="C5" s="150" t="str">
        <f>Report!A8</f>
        <v>For the period [Month, DD, YYYY]</v>
      </c>
      <c r="D5" s="150"/>
      <c r="E5" s="150"/>
    </row>
    <row r="6" spans="2:21" ht="15.75" customHeight="1">
      <c r="D6" s="94"/>
      <c r="E6" s="95"/>
      <c r="F6" s="95"/>
      <c r="G6" s="67"/>
      <c r="H6" s="67"/>
      <c r="I6" s="67"/>
      <c r="J6" s="67"/>
      <c r="K6" s="67"/>
      <c r="L6" s="67"/>
      <c r="M6" s="67"/>
      <c r="N6" s="67"/>
      <c r="O6" s="67"/>
      <c r="P6" s="67"/>
      <c r="Q6" s="67"/>
      <c r="R6" s="67"/>
    </row>
    <row r="7" spans="2:21" ht="15.75" customHeight="1">
      <c r="B7" s="94"/>
      <c r="D7" s="94"/>
      <c r="E7" s="95"/>
      <c r="F7" s="95"/>
      <c r="G7" s="67"/>
      <c r="H7" s="67"/>
      <c r="I7" s="67"/>
      <c r="J7" s="67"/>
      <c r="K7" s="67"/>
      <c r="L7" s="67"/>
      <c r="M7" s="67"/>
      <c r="N7" s="67"/>
      <c r="O7" s="67"/>
      <c r="P7" s="67"/>
      <c r="Q7" s="67"/>
      <c r="R7" s="67"/>
    </row>
    <row r="8" spans="2:21" s="97" customFormat="1" ht="24.6" customHeight="1">
      <c r="B8" s="118" t="s">
        <v>38</v>
      </c>
      <c r="C8" s="119" t="s">
        <v>39</v>
      </c>
      <c r="D8" s="119" t="s">
        <v>40</v>
      </c>
      <c r="E8" s="119" t="s">
        <v>41</v>
      </c>
      <c r="F8" s="119" t="s">
        <v>42</v>
      </c>
      <c r="G8" s="96" t="s">
        <v>43</v>
      </c>
      <c r="H8" s="96" t="s">
        <v>44</v>
      </c>
      <c r="I8" s="96" t="s">
        <v>45</v>
      </c>
      <c r="J8" s="120" t="s">
        <v>46</v>
      </c>
      <c r="K8" s="120" t="s">
        <v>47</v>
      </c>
      <c r="L8" s="120" t="s">
        <v>48</v>
      </c>
      <c r="M8" s="120" t="s">
        <v>49</v>
      </c>
      <c r="N8" s="120" t="s">
        <v>50</v>
      </c>
      <c r="O8" s="120" t="s">
        <v>51</v>
      </c>
      <c r="P8" s="120" t="s">
        <v>52</v>
      </c>
      <c r="Q8" s="120" t="s">
        <v>53</v>
      </c>
      <c r="R8" s="121" t="s">
        <v>54</v>
      </c>
    </row>
    <row r="9" spans="2:21" ht="15.75" customHeight="1">
      <c r="B9" s="98">
        <v>1</v>
      </c>
      <c r="C9" s="99" t="s">
        <v>55</v>
      </c>
      <c r="D9" s="100" t="s">
        <v>56</v>
      </c>
      <c r="E9" s="100" t="s">
        <v>57</v>
      </c>
      <c r="F9" s="100" t="s">
        <v>58</v>
      </c>
      <c r="G9" s="69">
        <v>1</v>
      </c>
      <c r="H9" s="69">
        <v>1</v>
      </c>
      <c r="I9" s="69">
        <v>1</v>
      </c>
      <c r="J9" s="69">
        <v>5</v>
      </c>
      <c r="K9" s="69">
        <v>5</v>
      </c>
      <c r="L9" s="69">
        <v>5</v>
      </c>
      <c r="M9" s="69">
        <v>5</v>
      </c>
      <c r="N9" s="69">
        <v>4</v>
      </c>
      <c r="O9" s="69" t="s">
        <v>16</v>
      </c>
      <c r="P9" s="69">
        <v>4</v>
      </c>
      <c r="Q9" s="69">
        <v>5</v>
      </c>
      <c r="R9" s="69">
        <v>4</v>
      </c>
      <c r="U9" s="101"/>
    </row>
    <row r="10" spans="2:21" ht="15.75" customHeight="1">
      <c r="B10" s="102">
        <v>2</v>
      </c>
      <c r="C10" s="103" t="s">
        <v>59</v>
      </c>
      <c r="D10" s="104" t="s">
        <v>60</v>
      </c>
      <c r="E10" s="104" t="s">
        <v>61</v>
      </c>
      <c r="F10" s="104" t="s">
        <v>62</v>
      </c>
      <c r="G10" s="69">
        <v>1</v>
      </c>
      <c r="H10" s="69">
        <v>1</v>
      </c>
      <c r="I10" s="69">
        <v>1</v>
      </c>
      <c r="J10" s="69">
        <v>5</v>
      </c>
      <c r="K10" s="69">
        <v>5</v>
      </c>
      <c r="L10" s="69">
        <v>5</v>
      </c>
      <c r="M10" s="69">
        <v>5</v>
      </c>
      <c r="N10" s="69">
        <v>4</v>
      </c>
      <c r="O10" s="69" t="s">
        <v>16</v>
      </c>
      <c r="P10" s="69">
        <v>4</v>
      </c>
      <c r="Q10" s="69">
        <v>5</v>
      </c>
      <c r="R10" s="69">
        <v>4</v>
      </c>
    </row>
    <row r="11" spans="2:21" ht="15.75" customHeight="1">
      <c r="B11" s="98">
        <v>3</v>
      </c>
      <c r="C11" s="99" t="s">
        <v>63</v>
      </c>
      <c r="D11" s="100" t="s">
        <v>64</v>
      </c>
      <c r="E11" s="100" t="s">
        <v>57</v>
      </c>
      <c r="F11" s="100" t="s">
        <v>58</v>
      </c>
      <c r="G11" s="69">
        <v>1</v>
      </c>
      <c r="H11" s="69">
        <v>1</v>
      </c>
      <c r="I11" s="69">
        <v>1</v>
      </c>
      <c r="J11" s="69">
        <v>5</v>
      </c>
      <c r="K11" s="69">
        <v>5</v>
      </c>
      <c r="L11" s="69">
        <v>5</v>
      </c>
      <c r="M11" s="69">
        <v>5</v>
      </c>
      <c r="N11" s="69">
        <v>4</v>
      </c>
      <c r="O11" s="69" t="s">
        <v>16</v>
      </c>
      <c r="P11" s="69">
        <v>4</v>
      </c>
      <c r="Q11" s="69">
        <v>5</v>
      </c>
      <c r="R11" s="69">
        <v>4</v>
      </c>
    </row>
    <row r="12" spans="2:21" ht="15.75" customHeight="1">
      <c r="B12" s="102">
        <v>4</v>
      </c>
      <c r="C12" s="103" t="s">
        <v>65</v>
      </c>
      <c r="D12" s="104" t="s">
        <v>56</v>
      </c>
      <c r="E12" s="104" t="s">
        <v>57</v>
      </c>
      <c r="F12" s="104" t="s">
        <v>62</v>
      </c>
      <c r="G12" s="69">
        <v>1</v>
      </c>
      <c r="H12" s="69">
        <v>1</v>
      </c>
      <c r="I12" s="69">
        <v>1</v>
      </c>
      <c r="J12" s="69">
        <v>5</v>
      </c>
      <c r="K12" s="69">
        <v>5</v>
      </c>
      <c r="L12" s="69">
        <v>5</v>
      </c>
      <c r="M12" s="69">
        <v>5</v>
      </c>
      <c r="N12" s="69">
        <v>4</v>
      </c>
      <c r="O12" s="69" t="s">
        <v>16</v>
      </c>
      <c r="P12" s="69">
        <v>4</v>
      </c>
      <c r="Q12" s="69">
        <v>5</v>
      </c>
      <c r="R12" s="69">
        <v>4</v>
      </c>
    </row>
    <row r="13" spans="2:21" ht="15.75" customHeight="1">
      <c r="B13" s="98">
        <v>5</v>
      </c>
      <c r="C13" s="99" t="s">
        <v>66</v>
      </c>
      <c r="D13" s="100" t="s">
        <v>56</v>
      </c>
      <c r="E13" s="100" t="s">
        <v>57</v>
      </c>
      <c r="F13" s="100" t="s">
        <v>58</v>
      </c>
      <c r="G13" s="69">
        <v>1</v>
      </c>
      <c r="H13" s="69">
        <v>1</v>
      </c>
      <c r="I13" s="69">
        <v>1</v>
      </c>
      <c r="J13" s="69">
        <v>5</v>
      </c>
      <c r="K13" s="69">
        <v>5</v>
      </c>
      <c r="L13" s="69">
        <v>5</v>
      </c>
      <c r="M13" s="69">
        <v>5</v>
      </c>
      <c r="N13" s="69">
        <v>4</v>
      </c>
      <c r="O13" s="69" t="s">
        <v>16</v>
      </c>
      <c r="P13" s="69">
        <v>4</v>
      </c>
      <c r="Q13" s="69">
        <v>5</v>
      </c>
      <c r="R13" s="69">
        <v>4</v>
      </c>
    </row>
    <row r="14" spans="2:21" ht="15.75" customHeight="1">
      <c r="B14" s="102">
        <v>6</v>
      </c>
      <c r="C14" s="103" t="s">
        <v>67</v>
      </c>
      <c r="D14" s="104" t="s">
        <v>64</v>
      </c>
      <c r="E14" s="104" t="s">
        <v>57</v>
      </c>
      <c r="F14" s="104" t="s">
        <v>62</v>
      </c>
      <c r="G14" s="69">
        <v>1</v>
      </c>
      <c r="H14" s="69">
        <v>1</v>
      </c>
      <c r="I14" s="69">
        <v>1</v>
      </c>
      <c r="J14" s="69">
        <v>5</v>
      </c>
      <c r="K14" s="69">
        <v>5</v>
      </c>
      <c r="L14" s="69">
        <v>5</v>
      </c>
      <c r="M14" s="69">
        <v>5</v>
      </c>
      <c r="N14" s="69">
        <v>4</v>
      </c>
      <c r="O14" s="69" t="s">
        <v>16</v>
      </c>
      <c r="P14" s="69">
        <v>4</v>
      </c>
      <c r="Q14" s="69">
        <v>5</v>
      </c>
      <c r="R14" s="69">
        <v>4</v>
      </c>
    </row>
    <row r="15" spans="2:21" ht="15.75" customHeight="1">
      <c r="B15" s="98">
        <v>7</v>
      </c>
      <c r="C15" s="99" t="s">
        <v>68</v>
      </c>
      <c r="D15" s="100" t="s">
        <v>64</v>
      </c>
      <c r="E15" s="100" t="s">
        <v>61</v>
      </c>
      <c r="F15" s="100" t="s">
        <v>62</v>
      </c>
      <c r="G15" s="69">
        <v>1</v>
      </c>
      <c r="H15" s="69">
        <v>3</v>
      </c>
      <c r="I15" s="69">
        <v>1</v>
      </c>
      <c r="J15" s="69">
        <v>5</v>
      </c>
      <c r="K15" s="69">
        <v>5</v>
      </c>
      <c r="L15" s="69">
        <v>5</v>
      </c>
      <c r="M15" s="69">
        <v>5</v>
      </c>
      <c r="N15" s="69">
        <v>4</v>
      </c>
      <c r="O15" s="69" t="s">
        <v>16</v>
      </c>
      <c r="P15" s="69">
        <v>4</v>
      </c>
      <c r="Q15" s="69">
        <v>5</v>
      </c>
      <c r="R15" s="69">
        <v>4</v>
      </c>
    </row>
    <row r="16" spans="2:21" ht="15.75" customHeight="1">
      <c r="B16" s="102">
        <v>8</v>
      </c>
      <c r="C16" s="103" t="s">
        <v>69</v>
      </c>
      <c r="D16" s="104" t="s">
        <v>70</v>
      </c>
      <c r="E16" s="104" t="s">
        <v>61</v>
      </c>
      <c r="F16" s="104" t="s">
        <v>62</v>
      </c>
      <c r="G16" s="69">
        <v>1</v>
      </c>
      <c r="H16" s="69">
        <v>1</v>
      </c>
      <c r="I16" s="69">
        <v>1</v>
      </c>
      <c r="J16" s="69">
        <v>5</v>
      </c>
      <c r="K16" s="69">
        <v>5</v>
      </c>
      <c r="L16" s="69">
        <v>5</v>
      </c>
      <c r="M16" s="69">
        <v>5</v>
      </c>
      <c r="N16" s="69">
        <v>4</v>
      </c>
      <c r="O16" s="69" t="s">
        <v>16</v>
      </c>
      <c r="P16" s="69">
        <v>4</v>
      </c>
      <c r="Q16" s="69">
        <v>5</v>
      </c>
      <c r="R16" s="69">
        <v>4</v>
      </c>
    </row>
    <row r="17" spans="2:18" ht="15.75" customHeight="1">
      <c r="B17" s="98">
        <v>9</v>
      </c>
      <c r="C17" s="99" t="s">
        <v>71</v>
      </c>
      <c r="D17" s="100" t="s">
        <v>56</v>
      </c>
      <c r="E17" s="100" t="s">
        <v>61</v>
      </c>
      <c r="F17" s="100" t="s">
        <v>72</v>
      </c>
      <c r="G17" s="69">
        <v>1</v>
      </c>
      <c r="H17" s="69">
        <v>1</v>
      </c>
      <c r="I17" s="69">
        <v>1</v>
      </c>
      <c r="J17" s="69">
        <v>5</v>
      </c>
      <c r="K17" s="69">
        <v>5</v>
      </c>
      <c r="L17" s="69">
        <v>5</v>
      </c>
      <c r="M17" s="69">
        <v>5</v>
      </c>
      <c r="N17" s="69">
        <v>4</v>
      </c>
      <c r="O17" s="69" t="s">
        <v>16</v>
      </c>
      <c r="P17" s="69">
        <v>4</v>
      </c>
      <c r="Q17" s="69">
        <v>5</v>
      </c>
      <c r="R17" s="69">
        <v>4</v>
      </c>
    </row>
    <row r="18" spans="2:18" ht="15.75" customHeight="1">
      <c r="B18" s="102">
        <v>10</v>
      </c>
      <c r="C18" s="103" t="s">
        <v>73</v>
      </c>
      <c r="D18" s="104" t="s">
        <v>70</v>
      </c>
      <c r="E18" s="104" t="s">
        <v>57</v>
      </c>
      <c r="F18" s="104" t="s">
        <v>62</v>
      </c>
      <c r="G18" s="69">
        <v>1</v>
      </c>
      <c r="H18" s="69">
        <v>1</v>
      </c>
      <c r="I18" s="69">
        <v>1</v>
      </c>
      <c r="J18" s="69">
        <v>5</v>
      </c>
      <c r="K18" s="69">
        <v>5</v>
      </c>
      <c r="L18" s="69">
        <v>5</v>
      </c>
      <c r="M18" s="69">
        <v>5</v>
      </c>
      <c r="N18" s="69">
        <v>4</v>
      </c>
      <c r="O18" s="69" t="s">
        <v>16</v>
      </c>
      <c r="P18" s="69">
        <v>4</v>
      </c>
      <c r="Q18" s="69">
        <v>5</v>
      </c>
      <c r="R18" s="69">
        <v>4</v>
      </c>
    </row>
    <row r="19" spans="2:18" ht="15.75" customHeight="1">
      <c r="B19" s="98">
        <v>11</v>
      </c>
      <c r="C19" s="99" t="s">
        <v>74</v>
      </c>
      <c r="D19" s="100" t="s">
        <v>70</v>
      </c>
      <c r="E19" s="100" t="s">
        <v>57</v>
      </c>
      <c r="F19" s="100" t="s">
        <v>62</v>
      </c>
      <c r="G19" s="69">
        <v>1</v>
      </c>
      <c r="H19" s="69">
        <v>1</v>
      </c>
      <c r="I19" s="69">
        <v>1</v>
      </c>
      <c r="J19" s="69">
        <v>5</v>
      </c>
      <c r="K19" s="69">
        <v>5</v>
      </c>
      <c r="L19" s="69">
        <v>5</v>
      </c>
      <c r="M19" s="69">
        <v>5</v>
      </c>
      <c r="N19" s="69">
        <v>4</v>
      </c>
      <c r="O19" s="69" t="s">
        <v>16</v>
      </c>
      <c r="P19" s="69">
        <v>4</v>
      </c>
      <c r="Q19" s="69">
        <v>5</v>
      </c>
      <c r="R19" s="69">
        <v>4</v>
      </c>
    </row>
    <row r="20" spans="2:18" ht="15.75" customHeight="1">
      <c r="B20" s="102">
        <v>12</v>
      </c>
      <c r="C20" s="103" t="s">
        <v>75</v>
      </c>
      <c r="D20" s="104" t="s">
        <v>76</v>
      </c>
      <c r="E20" s="104" t="s">
        <v>76</v>
      </c>
      <c r="F20" s="104" t="s">
        <v>76</v>
      </c>
      <c r="G20" s="69" t="s">
        <v>16</v>
      </c>
      <c r="H20" s="69" t="s">
        <v>16</v>
      </c>
      <c r="I20" s="69" t="s">
        <v>16</v>
      </c>
      <c r="J20" s="69" t="s">
        <v>16</v>
      </c>
      <c r="K20" s="69" t="s">
        <v>16</v>
      </c>
      <c r="L20" s="69" t="s">
        <v>16</v>
      </c>
      <c r="M20" s="69" t="s">
        <v>16</v>
      </c>
      <c r="N20" s="69" t="s">
        <v>16</v>
      </c>
      <c r="O20" s="69" t="s">
        <v>16</v>
      </c>
      <c r="P20" s="69" t="s">
        <v>16</v>
      </c>
      <c r="Q20" s="69" t="s">
        <v>16</v>
      </c>
      <c r="R20" s="69" t="s">
        <v>16</v>
      </c>
    </row>
    <row r="21" spans="2:18" ht="15.75" customHeight="1">
      <c r="B21" s="98">
        <v>13</v>
      </c>
      <c r="C21" s="99" t="s">
        <v>77</v>
      </c>
      <c r="D21" s="100" t="s">
        <v>56</v>
      </c>
      <c r="E21" s="100" t="s">
        <v>61</v>
      </c>
      <c r="F21" s="100" t="s">
        <v>58</v>
      </c>
      <c r="G21" s="69">
        <v>1</v>
      </c>
      <c r="H21" s="69">
        <v>1</v>
      </c>
      <c r="I21" s="69">
        <v>1</v>
      </c>
      <c r="J21" s="69">
        <v>5</v>
      </c>
      <c r="K21" s="69">
        <v>5</v>
      </c>
      <c r="L21" s="69">
        <v>5</v>
      </c>
      <c r="M21" s="69">
        <v>5</v>
      </c>
      <c r="N21" s="69">
        <v>3</v>
      </c>
      <c r="O21" s="69" t="s">
        <v>16</v>
      </c>
      <c r="P21" s="69">
        <v>3</v>
      </c>
      <c r="Q21" s="69">
        <v>5</v>
      </c>
      <c r="R21" s="69">
        <v>4</v>
      </c>
    </row>
    <row r="22" spans="2:18" ht="15.75" customHeight="1">
      <c r="B22" s="102">
        <v>14</v>
      </c>
      <c r="C22" s="103" t="s">
        <v>78</v>
      </c>
      <c r="D22" s="104" t="s">
        <v>56</v>
      </c>
      <c r="E22" s="104" t="s">
        <v>57</v>
      </c>
      <c r="F22" s="104" t="s">
        <v>62</v>
      </c>
      <c r="G22" s="69">
        <v>1</v>
      </c>
      <c r="H22" s="69">
        <v>1</v>
      </c>
      <c r="I22" s="69">
        <v>1</v>
      </c>
      <c r="J22" s="69">
        <v>5</v>
      </c>
      <c r="K22" s="69">
        <v>5</v>
      </c>
      <c r="L22" s="69">
        <v>5</v>
      </c>
      <c r="M22" s="69">
        <v>5</v>
      </c>
      <c r="N22" s="69">
        <v>4</v>
      </c>
      <c r="O22" s="69" t="s">
        <v>16</v>
      </c>
      <c r="P22" s="69">
        <v>4</v>
      </c>
      <c r="Q22" s="69">
        <v>5</v>
      </c>
      <c r="R22" s="69">
        <v>4</v>
      </c>
    </row>
    <row r="23" spans="2:18" ht="15.75" customHeight="1">
      <c r="B23" s="98">
        <v>15</v>
      </c>
      <c r="C23" s="99" t="s">
        <v>79</v>
      </c>
      <c r="D23" s="100" t="s">
        <v>60</v>
      </c>
      <c r="E23" s="100" t="s">
        <v>61</v>
      </c>
      <c r="F23" s="100" t="s">
        <v>58</v>
      </c>
      <c r="G23" s="69">
        <v>1</v>
      </c>
      <c r="H23" s="69">
        <v>1</v>
      </c>
      <c r="I23" s="69">
        <v>1</v>
      </c>
      <c r="J23" s="69">
        <v>5</v>
      </c>
      <c r="K23" s="69">
        <v>2</v>
      </c>
      <c r="L23" s="69">
        <v>5</v>
      </c>
      <c r="M23" s="69">
        <v>5</v>
      </c>
      <c r="N23" s="69">
        <v>4</v>
      </c>
      <c r="O23" s="69" t="s">
        <v>16</v>
      </c>
      <c r="P23" s="69">
        <v>4</v>
      </c>
      <c r="Q23" s="69">
        <v>5</v>
      </c>
      <c r="R23" s="69">
        <v>4</v>
      </c>
    </row>
    <row r="24" spans="2:18" ht="15.75" customHeight="1">
      <c r="B24" s="102">
        <v>16</v>
      </c>
      <c r="C24" s="103" t="s">
        <v>80</v>
      </c>
      <c r="D24" s="104" t="s">
        <v>64</v>
      </c>
      <c r="E24" s="104" t="s">
        <v>61</v>
      </c>
      <c r="F24" s="104" t="s">
        <v>72</v>
      </c>
      <c r="G24" s="69">
        <v>1</v>
      </c>
      <c r="H24" s="69">
        <v>1</v>
      </c>
      <c r="I24" s="69">
        <v>1</v>
      </c>
      <c r="J24" s="69">
        <v>5</v>
      </c>
      <c r="K24" s="69">
        <v>5</v>
      </c>
      <c r="L24" s="69">
        <v>5</v>
      </c>
      <c r="M24" s="69">
        <v>5</v>
      </c>
      <c r="N24" s="69">
        <v>4</v>
      </c>
      <c r="O24" s="69" t="s">
        <v>16</v>
      </c>
      <c r="P24" s="69">
        <v>4</v>
      </c>
      <c r="Q24" s="69">
        <v>5</v>
      </c>
      <c r="R24" s="69">
        <v>4</v>
      </c>
    </row>
    <row r="25" spans="2:18" ht="15.75" customHeight="1">
      <c r="B25" s="98">
        <v>17</v>
      </c>
      <c r="C25" s="99" t="s">
        <v>81</v>
      </c>
      <c r="D25" s="100" t="s">
        <v>56</v>
      </c>
      <c r="E25" s="100" t="s">
        <v>57</v>
      </c>
      <c r="F25" s="100" t="s">
        <v>62</v>
      </c>
      <c r="G25" s="69">
        <v>1</v>
      </c>
      <c r="H25" s="69">
        <v>1</v>
      </c>
      <c r="I25" s="69">
        <v>1</v>
      </c>
      <c r="J25" s="69">
        <v>5</v>
      </c>
      <c r="K25" s="69">
        <v>5</v>
      </c>
      <c r="L25" s="69">
        <v>5</v>
      </c>
      <c r="M25" s="69">
        <v>5</v>
      </c>
      <c r="N25" s="69">
        <v>4</v>
      </c>
      <c r="O25" s="69" t="s">
        <v>16</v>
      </c>
      <c r="P25" s="69">
        <v>4</v>
      </c>
      <c r="Q25" s="69">
        <v>5</v>
      </c>
      <c r="R25" s="69">
        <v>4</v>
      </c>
    </row>
    <row r="26" spans="2:18" ht="15.75" customHeight="1">
      <c r="B26" s="102">
        <v>18</v>
      </c>
      <c r="C26" s="103" t="s">
        <v>82</v>
      </c>
      <c r="D26" s="104" t="s">
        <v>56</v>
      </c>
      <c r="E26" s="104" t="s">
        <v>57</v>
      </c>
      <c r="F26" s="104" t="s">
        <v>62</v>
      </c>
      <c r="G26" s="69">
        <v>1</v>
      </c>
      <c r="H26" s="69">
        <v>1</v>
      </c>
      <c r="I26" s="69">
        <v>1</v>
      </c>
      <c r="J26" s="69">
        <v>5</v>
      </c>
      <c r="K26" s="69">
        <v>5</v>
      </c>
      <c r="L26" s="69">
        <v>4</v>
      </c>
      <c r="M26" s="69">
        <v>5</v>
      </c>
      <c r="N26" s="69">
        <v>4</v>
      </c>
      <c r="O26" s="69" t="s">
        <v>16</v>
      </c>
      <c r="P26" s="69">
        <v>4</v>
      </c>
      <c r="Q26" s="69">
        <v>5</v>
      </c>
      <c r="R26" s="69">
        <v>4</v>
      </c>
    </row>
    <row r="27" spans="2:18" ht="15.75" customHeight="1">
      <c r="B27" s="98">
        <v>19</v>
      </c>
      <c r="C27" s="99" t="s">
        <v>83</v>
      </c>
      <c r="D27" s="100" t="s">
        <v>56</v>
      </c>
      <c r="E27" s="100" t="s">
        <v>61</v>
      </c>
      <c r="F27" s="100" t="s">
        <v>72</v>
      </c>
      <c r="G27" s="69">
        <v>1</v>
      </c>
      <c r="H27" s="69">
        <v>1</v>
      </c>
      <c r="I27" s="69">
        <v>1</v>
      </c>
      <c r="J27" s="69">
        <v>5</v>
      </c>
      <c r="K27" s="69">
        <v>5</v>
      </c>
      <c r="L27" s="69">
        <v>4</v>
      </c>
      <c r="M27" s="69">
        <v>5</v>
      </c>
      <c r="N27" s="69">
        <v>4</v>
      </c>
      <c r="O27" s="69" t="s">
        <v>16</v>
      </c>
      <c r="P27" s="69">
        <v>4</v>
      </c>
      <c r="Q27" s="69">
        <v>5</v>
      </c>
      <c r="R27" s="69">
        <v>4</v>
      </c>
    </row>
    <row r="28" spans="2:18" ht="15.75" customHeight="1">
      <c r="B28" s="102">
        <v>20</v>
      </c>
      <c r="C28" s="103" t="s">
        <v>84</v>
      </c>
      <c r="D28" s="104" t="s">
        <v>56</v>
      </c>
      <c r="E28" s="104" t="s">
        <v>57</v>
      </c>
      <c r="F28" s="104" t="s">
        <v>62</v>
      </c>
      <c r="G28" s="69">
        <v>1</v>
      </c>
      <c r="H28" s="69">
        <v>1</v>
      </c>
      <c r="I28" s="69">
        <v>1</v>
      </c>
      <c r="J28" s="69">
        <v>5</v>
      </c>
      <c r="K28" s="69">
        <v>5</v>
      </c>
      <c r="L28" s="69">
        <v>4</v>
      </c>
      <c r="M28" s="69">
        <v>5</v>
      </c>
      <c r="N28" s="69">
        <v>4</v>
      </c>
      <c r="O28" s="69" t="s">
        <v>16</v>
      </c>
      <c r="P28" s="69">
        <v>4</v>
      </c>
      <c r="Q28" s="69">
        <v>5</v>
      </c>
      <c r="R28" s="69">
        <v>4</v>
      </c>
    </row>
    <row r="29" spans="2:18" ht="15.75" customHeight="1">
      <c r="B29" s="98">
        <v>21</v>
      </c>
      <c r="C29" s="99" t="s">
        <v>85</v>
      </c>
      <c r="D29" s="100" t="s">
        <v>64</v>
      </c>
      <c r="E29" s="100" t="s">
        <v>57</v>
      </c>
      <c r="F29" s="100" t="s">
        <v>72</v>
      </c>
      <c r="G29" s="69">
        <v>1</v>
      </c>
      <c r="H29" s="69">
        <v>1</v>
      </c>
      <c r="I29" s="69">
        <v>1</v>
      </c>
      <c r="J29" s="69">
        <v>5</v>
      </c>
      <c r="K29" s="69">
        <v>5</v>
      </c>
      <c r="L29" s="69">
        <v>4</v>
      </c>
      <c r="M29" s="69">
        <v>5</v>
      </c>
      <c r="N29" s="69">
        <v>5</v>
      </c>
      <c r="O29" s="69" t="s">
        <v>16</v>
      </c>
      <c r="P29" s="69">
        <v>4</v>
      </c>
      <c r="Q29" s="69">
        <v>5</v>
      </c>
      <c r="R29" s="69">
        <v>4</v>
      </c>
    </row>
    <row r="30" spans="2:18" ht="15.75" customHeight="1">
      <c r="B30" s="102">
        <v>22</v>
      </c>
      <c r="C30" s="103" t="s">
        <v>86</v>
      </c>
      <c r="D30" s="104" t="s">
        <v>70</v>
      </c>
      <c r="E30" s="104" t="s">
        <v>57</v>
      </c>
      <c r="F30" s="104" t="s">
        <v>58</v>
      </c>
      <c r="G30" s="69">
        <v>1</v>
      </c>
      <c r="H30" s="69">
        <v>1</v>
      </c>
      <c r="I30" s="69">
        <v>1</v>
      </c>
      <c r="J30" s="69">
        <v>5</v>
      </c>
      <c r="K30" s="69">
        <v>5</v>
      </c>
      <c r="L30" s="69">
        <v>4</v>
      </c>
      <c r="M30" s="69">
        <v>5</v>
      </c>
      <c r="N30" s="69">
        <v>5</v>
      </c>
      <c r="O30" s="69" t="s">
        <v>16</v>
      </c>
      <c r="P30" s="69">
        <v>4</v>
      </c>
      <c r="Q30" s="69">
        <v>5</v>
      </c>
      <c r="R30" s="69">
        <v>4</v>
      </c>
    </row>
    <row r="31" spans="2:18" ht="15.75" customHeight="1">
      <c r="B31" s="98">
        <v>23</v>
      </c>
      <c r="C31" s="99" t="s">
        <v>87</v>
      </c>
      <c r="D31" s="100" t="s">
        <v>70</v>
      </c>
      <c r="E31" s="100" t="s">
        <v>57</v>
      </c>
      <c r="F31" s="100" t="s">
        <v>62</v>
      </c>
      <c r="G31" s="69">
        <v>1</v>
      </c>
      <c r="H31" s="69">
        <v>1</v>
      </c>
      <c r="I31" s="69">
        <v>1</v>
      </c>
      <c r="J31" s="69">
        <v>5</v>
      </c>
      <c r="K31" s="69">
        <v>5</v>
      </c>
      <c r="L31" s="69">
        <v>3</v>
      </c>
      <c r="M31" s="69">
        <v>5</v>
      </c>
      <c r="N31" s="69">
        <v>5</v>
      </c>
      <c r="O31" s="69" t="s">
        <v>16</v>
      </c>
      <c r="P31" s="69">
        <v>4</v>
      </c>
      <c r="Q31" s="69">
        <v>5</v>
      </c>
      <c r="R31" s="69">
        <v>4</v>
      </c>
    </row>
    <row r="32" spans="2:18" ht="15.75" customHeight="1">
      <c r="B32" s="102">
        <v>24</v>
      </c>
      <c r="C32" s="103" t="s">
        <v>88</v>
      </c>
      <c r="D32" s="104" t="s">
        <v>56</v>
      </c>
      <c r="E32" s="104" t="s">
        <v>57</v>
      </c>
      <c r="F32" s="104" t="s">
        <v>62</v>
      </c>
      <c r="G32" s="69">
        <v>1</v>
      </c>
      <c r="H32" s="69">
        <v>1</v>
      </c>
      <c r="I32" s="69">
        <v>1</v>
      </c>
      <c r="J32" s="69">
        <v>5</v>
      </c>
      <c r="K32" s="69">
        <v>5</v>
      </c>
      <c r="L32" s="69">
        <v>3</v>
      </c>
      <c r="M32" s="69">
        <v>5</v>
      </c>
      <c r="N32" s="69">
        <v>5</v>
      </c>
      <c r="O32" s="69" t="s">
        <v>16</v>
      </c>
      <c r="P32" s="69">
        <v>4</v>
      </c>
      <c r="Q32" s="69">
        <v>5</v>
      </c>
      <c r="R32" s="69">
        <v>4</v>
      </c>
    </row>
    <row r="33" spans="2:18" ht="15.75" customHeight="1">
      <c r="B33" s="98">
        <v>25</v>
      </c>
      <c r="C33" s="99" t="s">
        <v>89</v>
      </c>
      <c r="D33" s="100" t="s">
        <v>70</v>
      </c>
      <c r="E33" s="100" t="s">
        <v>57</v>
      </c>
      <c r="F33" s="100" t="s">
        <v>62</v>
      </c>
      <c r="G33" s="69">
        <v>1</v>
      </c>
      <c r="H33" s="69">
        <v>1</v>
      </c>
      <c r="I33" s="69">
        <v>1</v>
      </c>
      <c r="J33" s="69">
        <v>5</v>
      </c>
      <c r="K33" s="69">
        <v>5</v>
      </c>
      <c r="L33" s="69">
        <v>3</v>
      </c>
      <c r="M33" s="69">
        <v>5</v>
      </c>
      <c r="N33" s="69">
        <v>5</v>
      </c>
      <c r="O33" s="69" t="s">
        <v>16</v>
      </c>
      <c r="P33" s="69">
        <v>4</v>
      </c>
      <c r="Q33" s="69">
        <v>5</v>
      </c>
      <c r="R33" s="69">
        <v>4</v>
      </c>
    </row>
    <row r="34" spans="2:18" ht="15.75" customHeight="1">
      <c r="B34" s="102">
        <v>26</v>
      </c>
      <c r="C34" s="103" t="s">
        <v>90</v>
      </c>
      <c r="D34" s="104" t="s">
        <v>70</v>
      </c>
      <c r="E34" s="104" t="s">
        <v>61</v>
      </c>
      <c r="F34" s="104" t="s">
        <v>72</v>
      </c>
      <c r="G34" s="69">
        <v>1</v>
      </c>
      <c r="H34" s="69">
        <v>1</v>
      </c>
      <c r="I34" s="69">
        <v>1</v>
      </c>
      <c r="J34" s="69">
        <v>5</v>
      </c>
      <c r="K34" s="69">
        <v>5</v>
      </c>
      <c r="L34" s="69">
        <v>3</v>
      </c>
      <c r="M34" s="69">
        <v>5</v>
      </c>
      <c r="N34" s="69">
        <v>5</v>
      </c>
      <c r="O34" s="69" t="s">
        <v>16</v>
      </c>
      <c r="P34" s="69">
        <v>4</v>
      </c>
      <c r="Q34" s="69">
        <v>5</v>
      </c>
      <c r="R34" s="69">
        <v>4</v>
      </c>
    </row>
    <row r="35" spans="2:18" ht="15.75" customHeight="1">
      <c r="B35" s="98">
        <v>27</v>
      </c>
      <c r="C35" s="99" t="s">
        <v>91</v>
      </c>
      <c r="D35" s="100" t="s">
        <v>70</v>
      </c>
      <c r="E35" s="100" t="s">
        <v>57</v>
      </c>
      <c r="F35" s="100" t="s">
        <v>62</v>
      </c>
      <c r="G35" s="69">
        <v>1</v>
      </c>
      <c r="H35" s="69">
        <v>1</v>
      </c>
      <c r="I35" s="69">
        <v>1</v>
      </c>
      <c r="J35" s="69">
        <v>5</v>
      </c>
      <c r="K35" s="69">
        <v>5</v>
      </c>
      <c r="L35" s="69">
        <v>3</v>
      </c>
      <c r="M35" s="69">
        <v>5</v>
      </c>
      <c r="N35" s="69">
        <v>5</v>
      </c>
      <c r="O35" s="69" t="s">
        <v>16</v>
      </c>
      <c r="P35" s="69">
        <v>3</v>
      </c>
      <c r="Q35" s="69">
        <v>5</v>
      </c>
      <c r="R35" s="69">
        <v>4</v>
      </c>
    </row>
    <row r="36" spans="2:18" ht="15.75" customHeight="1">
      <c r="B36" s="102">
        <v>28</v>
      </c>
      <c r="C36" s="103" t="s">
        <v>92</v>
      </c>
      <c r="D36" s="104" t="s">
        <v>64</v>
      </c>
      <c r="E36" s="104" t="s">
        <v>61</v>
      </c>
      <c r="F36" s="104" t="s">
        <v>62</v>
      </c>
      <c r="G36" s="69">
        <v>1</v>
      </c>
      <c r="H36" s="69">
        <v>1</v>
      </c>
      <c r="I36" s="69">
        <v>1</v>
      </c>
      <c r="J36" s="69">
        <v>5</v>
      </c>
      <c r="K36" s="69">
        <v>5</v>
      </c>
      <c r="L36" s="69">
        <v>3</v>
      </c>
      <c r="M36" s="69">
        <v>5</v>
      </c>
      <c r="N36" s="69">
        <v>5</v>
      </c>
      <c r="O36" s="69" t="s">
        <v>16</v>
      </c>
      <c r="P36" s="69">
        <v>3</v>
      </c>
      <c r="Q36" s="69">
        <v>5</v>
      </c>
      <c r="R36" s="69">
        <v>4</v>
      </c>
    </row>
    <row r="37" spans="2:18" ht="15.75" customHeight="1">
      <c r="B37" s="98">
        <v>29</v>
      </c>
      <c r="C37" s="99" t="s">
        <v>93</v>
      </c>
      <c r="D37" s="100" t="s">
        <v>70</v>
      </c>
      <c r="E37" s="100" t="s">
        <v>61</v>
      </c>
      <c r="F37" s="100" t="s">
        <v>62</v>
      </c>
      <c r="G37" s="69">
        <v>1</v>
      </c>
      <c r="H37" s="69">
        <v>1</v>
      </c>
      <c r="I37" s="69">
        <v>1</v>
      </c>
      <c r="J37" s="69">
        <v>5</v>
      </c>
      <c r="K37" s="69">
        <v>5</v>
      </c>
      <c r="L37" s="69">
        <v>3</v>
      </c>
      <c r="M37" s="69">
        <v>5</v>
      </c>
      <c r="N37" s="69">
        <v>5</v>
      </c>
      <c r="O37" s="69" t="s">
        <v>16</v>
      </c>
      <c r="P37" s="69">
        <v>3</v>
      </c>
      <c r="Q37" s="69">
        <v>5</v>
      </c>
      <c r="R37" s="69">
        <v>4</v>
      </c>
    </row>
    <row r="38" spans="2:18" ht="15.75" customHeight="1">
      <c r="B38" s="102">
        <v>30</v>
      </c>
      <c r="C38" s="103" t="s">
        <v>94</v>
      </c>
      <c r="D38" s="104" t="s">
        <v>56</v>
      </c>
      <c r="E38" s="104" t="s">
        <v>61</v>
      </c>
      <c r="F38" s="104" t="s">
        <v>62</v>
      </c>
      <c r="G38" s="69">
        <v>1</v>
      </c>
      <c r="H38" s="69">
        <v>1</v>
      </c>
      <c r="I38" s="69">
        <v>1</v>
      </c>
      <c r="J38" s="69">
        <v>5</v>
      </c>
      <c r="K38" s="69">
        <v>5</v>
      </c>
      <c r="L38" s="69">
        <v>3</v>
      </c>
      <c r="M38" s="69">
        <v>5</v>
      </c>
      <c r="N38" s="69">
        <v>5</v>
      </c>
      <c r="O38" s="69" t="s">
        <v>16</v>
      </c>
      <c r="P38" s="69">
        <v>3</v>
      </c>
      <c r="Q38" s="69">
        <v>5</v>
      </c>
      <c r="R38" s="69">
        <v>4</v>
      </c>
    </row>
    <row r="39" spans="2:18" ht="15.75" customHeight="1">
      <c r="B39" s="98">
        <v>31</v>
      </c>
      <c r="C39" s="99" t="s">
        <v>95</v>
      </c>
      <c r="D39" s="100" t="s">
        <v>56</v>
      </c>
      <c r="E39" s="100" t="s">
        <v>61</v>
      </c>
      <c r="F39" s="100" t="s">
        <v>72</v>
      </c>
      <c r="G39" s="69">
        <v>1</v>
      </c>
      <c r="H39" s="69">
        <v>1</v>
      </c>
      <c r="I39" s="69">
        <v>1</v>
      </c>
      <c r="J39" s="69">
        <v>5</v>
      </c>
      <c r="K39" s="69">
        <v>5</v>
      </c>
      <c r="L39" s="69">
        <v>3</v>
      </c>
      <c r="M39" s="69">
        <v>5</v>
      </c>
      <c r="N39" s="69">
        <v>5</v>
      </c>
      <c r="O39" s="69" t="s">
        <v>16</v>
      </c>
      <c r="P39" s="69">
        <v>3</v>
      </c>
      <c r="Q39" s="69">
        <v>5</v>
      </c>
      <c r="R39" s="69">
        <v>4</v>
      </c>
    </row>
    <row r="40" spans="2:18" ht="15.75" customHeight="1">
      <c r="B40" s="102"/>
      <c r="C40" s="103"/>
      <c r="D40" s="104"/>
      <c r="E40" s="104"/>
      <c r="F40" s="104"/>
      <c r="G40" s="69"/>
      <c r="H40" s="69"/>
      <c r="I40" s="69"/>
      <c r="J40" s="69"/>
      <c r="K40" s="69"/>
      <c r="L40" s="69"/>
      <c r="M40" s="69"/>
      <c r="N40" s="69"/>
      <c r="O40" s="69"/>
      <c r="P40" s="69"/>
      <c r="Q40" s="69"/>
      <c r="R40" s="69"/>
    </row>
    <row r="41" spans="2:18" ht="15.75" customHeight="1">
      <c r="B41" s="98"/>
      <c r="C41" s="99"/>
      <c r="D41" s="100"/>
      <c r="E41" s="100"/>
      <c r="F41" s="100"/>
      <c r="G41" s="69"/>
      <c r="H41" s="69"/>
      <c r="I41" s="69"/>
      <c r="J41" s="69"/>
      <c r="K41" s="69"/>
      <c r="L41" s="69"/>
      <c r="M41" s="69"/>
      <c r="N41" s="69"/>
      <c r="O41" s="69"/>
      <c r="P41" s="69"/>
      <c r="Q41" s="69"/>
      <c r="R41" s="69"/>
    </row>
    <row r="42" spans="2:18" ht="15.75" customHeight="1">
      <c r="B42" s="102"/>
      <c r="C42" s="103"/>
      <c r="D42" s="104"/>
      <c r="E42" s="104"/>
      <c r="F42" s="104"/>
      <c r="G42" s="69"/>
      <c r="H42" s="69"/>
      <c r="I42" s="69"/>
      <c r="J42" s="69"/>
      <c r="K42" s="69"/>
      <c r="L42" s="69"/>
      <c r="M42" s="69"/>
      <c r="N42" s="69"/>
      <c r="O42" s="69"/>
      <c r="P42" s="69"/>
      <c r="Q42" s="69"/>
      <c r="R42" s="69"/>
    </row>
    <row r="43" spans="2:18" ht="15.75" customHeight="1">
      <c r="B43" s="98"/>
      <c r="C43" s="99"/>
      <c r="D43" s="100"/>
      <c r="E43" s="100"/>
      <c r="F43" s="100"/>
      <c r="G43" s="69"/>
      <c r="H43" s="69"/>
      <c r="I43" s="69"/>
      <c r="J43" s="69"/>
      <c r="K43" s="69"/>
      <c r="L43" s="69"/>
      <c r="M43" s="69"/>
      <c r="N43" s="69"/>
      <c r="O43" s="69"/>
      <c r="P43" s="69"/>
      <c r="Q43" s="69"/>
      <c r="R43" s="69"/>
    </row>
    <row r="44" spans="2:18" ht="15.75" customHeight="1">
      <c r="B44" s="102"/>
      <c r="C44" s="103"/>
      <c r="D44" s="104"/>
      <c r="E44" s="104"/>
      <c r="F44" s="104"/>
      <c r="G44" s="69"/>
      <c r="H44" s="69"/>
      <c r="I44" s="69"/>
      <c r="J44" s="69"/>
      <c r="K44" s="69"/>
      <c r="L44" s="69"/>
      <c r="M44" s="69"/>
      <c r="N44" s="69"/>
      <c r="O44" s="69"/>
      <c r="P44" s="69"/>
      <c r="Q44" s="69"/>
      <c r="R44" s="69"/>
    </row>
    <row r="45" spans="2:18" ht="15.75" customHeight="1">
      <c r="B45" s="98"/>
      <c r="C45" s="99"/>
      <c r="D45" s="100"/>
      <c r="E45" s="100"/>
      <c r="F45" s="100"/>
      <c r="G45" s="69"/>
      <c r="H45" s="69"/>
      <c r="I45" s="69"/>
      <c r="J45" s="69"/>
      <c r="K45" s="69"/>
      <c r="L45" s="69"/>
      <c r="M45" s="69"/>
      <c r="N45" s="69"/>
      <c r="O45" s="69"/>
      <c r="P45" s="69"/>
      <c r="Q45" s="69"/>
      <c r="R45" s="69"/>
    </row>
    <row r="46" spans="2:18" ht="15.75" customHeight="1">
      <c r="B46" s="102"/>
      <c r="C46" s="103"/>
      <c r="D46" s="104"/>
      <c r="E46" s="104"/>
      <c r="F46" s="104"/>
      <c r="G46" s="69"/>
      <c r="H46" s="69"/>
      <c r="I46" s="69"/>
      <c r="J46" s="69"/>
      <c r="K46" s="69"/>
      <c r="L46" s="69"/>
      <c r="M46" s="69"/>
      <c r="N46" s="69"/>
      <c r="O46" s="69"/>
      <c r="P46" s="69"/>
      <c r="Q46" s="69"/>
      <c r="R46" s="69"/>
    </row>
    <row r="47" spans="2:18" ht="15.75" customHeight="1">
      <c r="B47" s="98"/>
      <c r="C47" s="99"/>
      <c r="D47" s="100"/>
      <c r="E47" s="100"/>
      <c r="F47" s="100"/>
      <c r="G47" s="69"/>
      <c r="H47" s="69"/>
      <c r="I47" s="69"/>
      <c r="J47" s="69"/>
      <c r="K47" s="69"/>
      <c r="L47" s="69"/>
      <c r="M47" s="69"/>
      <c r="N47" s="69"/>
      <c r="O47" s="69"/>
      <c r="P47" s="69"/>
      <c r="Q47" s="69"/>
      <c r="R47" s="69"/>
    </row>
    <row r="48" spans="2:18" ht="15.75" customHeight="1">
      <c r="B48" s="102"/>
      <c r="C48" s="103"/>
      <c r="D48" s="104"/>
      <c r="E48" s="104"/>
      <c r="F48" s="104"/>
      <c r="G48" s="69"/>
      <c r="H48" s="69"/>
      <c r="I48" s="69"/>
      <c r="J48" s="69"/>
      <c r="K48" s="69"/>
      <c r="L48" s="69"/>
      <c r="M48" s="69"/>
      <c r="N48" s="69"/>
      <c r="O48" s="69"/>
      <c r="P48" s="69"/>
      <c r="Q48" s="69"/>
      <c r="R48" s="69"/>
    </row>
    <row r="49" spans="2:18" ht="15.75" customHeight="1">
      <c r="B49" s="98"/>
      <c r="C49" s="99"/>
      <c r="D49" s="100"/>
      <c r="E49" s="100"/>
      <c r="F49" s="100"/>
      <c r="G49" s="69"/>
      <c r="H49" s="69"/>
      <c r="I49" s="69"/>
      <c r="J49" s="69"/>
      <c r="K49" s="69"/>
      <c r="L49" s="69"/>
      <c r="M49" s="69"/>
      <c r="N49" s="69"/>
      <c r="O49" s="69"/>
      <c r="P49" s="69"/>
      <c r="Q49" s="69"/>
      <c r="R49" s="69"/>
    </row>
    <row r="50" spans="2:18" ht="15.75" customHeight="1">
      <c r="B50" s="102"/>
      <c r="C50" s="103"/>
      <c r="D50" s="104"/>
      <c r="E50" s="104"/>
      <c r="F50" s="104"/>
      <c r="G50" s="69"/>
      <c r="H50" s="69"/>
      <c r="I50" s="69"/>
      <c r="J50" s="69"/>
      <c r="K50" s="69"/>
      <c r="L50" s="69"/>
      <c r="M50" s="69"/>
      <c r="N50" s="69"/>
      <c r="O50" s="69"/>
      <c r="P50" s="69"/>
      <c r="Q50" s="69"/>
      <c r="R50" s="69"/>
    </row>
    <row r="51" spans="2:18" ht="15.75" customHeight="1">
      <c r="B51" s="98"/>
      <c r="C51" s="99"/>
      <c r="D51" s="100"/>
      <c r="E51" s="100"/>
      <c r="F51" s="100"/>
      <c r="G51" s="69"/>
      <c r="H51" s="69"/>
      <c r="I51" s="69"/>
      <c r="J51" s="69"/>
      <c r="K51" s="69"/>
      <c r="L51" s="69"/>
      <c r="M51" s="69"/>
      <c r="N51" s="69"/>
      <c r="O51" s="69"/>
      <c r="P51" s="69"/>
      <c r="Q51" s="69"/>
      <c r="R51" s="69"/>
    </row>
    <row r="52" spans="2:18" ht="15.75" hidden="1" customHeight="1">
      <c r="B52" s="102"/>
      <c r="C52" s="103"/>
      <c r="D52" s="104"/>
      <c r="E52" s="104"/>
      <c r="F52" s="104"/>
      <c r="G52" s="69"/>
      <c r="H52" s="69"/>
      <c r="I52" s="69"/>
      <c r="J52" s="69"/>
      <c r="K52" s="69"/>
      <c r="L52" s="69"/>
      <c r="M52" s="69"/>
      <c r="N52" s="69"/>
      <c r="O52" s="69"/>
      <c r="P52" s="69"/>
      <c r="Q52" s="69"/>
      <c r="R52" s="69"/>
    </row>
    <row r="53" spans="2:18" ht="15.75" hidden="1" customHeight="1">
      <c r="B53" s="98"/>
      <c r="C53" s="99"/>
      <c r="D53" s="100"/>
      <c r="E53" s="100"/>
      <c r="F53" s="100"/>
      <c r="G53" s="69"/>
      <c r="H53" s="69"/>
      <c r="I53" s="69"/>
      <c r="J53" s="69"/>
      <c r="K53" s="69"/>
      <c r="L53" s="69"/>
      <c r="M53" s="69"/>
      <c r="N53" s="69"/>
      <c r="O53" s="69"/>
      <c r="P53" s="69"/>
      <c r="Q53" s="69"/>
      <c r="R53" s="69"/>
    </row>
    <row r="54" spans="2:18" ht="15.75" hidden="1" customHeight="1">
      <c r="B54" s="102"/>
      <c r="C54" s="103"/>
      <c r="D54" s="104"/>
      <c r="E54" s="104"/>
      <c r="F54" s="104"/>
      <c r="G54" s="69"/>
      <c r="H54" s="69"/>
      <c r="I54" s="69"/>
      <c r="J54" s="69"/>
      <c r="K54" s="69"/>
      <c r="L54" s="69"/>
      <c r="M54" s="69"/>
      <c r="N54" s="69"/>
      <c r="O54" s="69"/>
      <c r="P54" s="69"/>
      <c r="Q54" s="69"/>
      <c r="R54" s="69"/>
    </row>
    <row r="55" spans="2:18" ht="15.75" hidden="1" customHeight="1">
      <c r="B55" s="98"/>
      <c r="C55" s="99"/>
      <c r="D55" s="100"/>
      <c r="E55" s="100"/>
      <c r="F55" s="100"/>
      <c r="G55" s="69"/>
      <c r="H55" s="69"/>
      <c r="I55" s="69"/>
      <c r="J55" s="69"/>
      <c r="K55" s="69"/>
      <c r="L55" s="69"/>
      <c r="M55" s="69"/>
      <c r="N55" s="69"/>
      <c r="O55" s="69"/>
      <c r="P55" s="69"/>
      <c r="Q55" s="69"/>
      <c r="R55" s="69"/>
    </row>
    <row r="56" spans="2:18" ht="15.75" hidden="1" customHeight="1">
      <c r="B56" s="102"/>
      <c r="C56" s="103"/>
      <c r="D56" s="104"/>
      <c r="E56" s="104"/>
      <c r="F56" s="104"/>
      <c r="G56" s="69"/>
      <c r="H56" s="69"/>
      <c r="I56" s="69"/>
      <c r="J56" s="69"/>
      <c r="K56" s="69"/>
      <c r="L56" s="69"/>
      <c r="M56" s="69"/>
      <c r="N56" s="69"/>
      <c r="O56" s="69"/>
      <c r="P56" s="69"/>
      <c r="Q56" s="69"/>
      <c r="R56" s="69"/>
    </row>
    <row r="57" spans="2:18" ht="15.75" hidden="1" customHeight="1">
      <c r="B57" s="98"/>
      <c r="C57" s="99"/>
      <c r="D57" s="100"/>
      <c r="E57" s="100"/>
      <c r="F57" s="100"/>
      <c r="G57" s="69"/>
      <c r="H57" s="69"/>
      <c r="I57" s="69"/>
      <c r="J57" s="69"/>
      <c r="K57" s="69"/>
      <c r="L57" s="69"/>
      <c r="M57" s="69"/>
      <c r="N57" s="69"/>
      <c r="O57" s="69"/>
      <c r="P57" s="69"/>
      <c r="Q57" s="69"/>
      <c r="R57" s="69"/>
    </row>
    <row r="58" spans="2:18" ht="15.75" hidden="1" customHeight="1">
      <c r="B58" s="102"/>
      <c r="C58" s="103"/>
      <c r="D58" s="104"/>
      <c r="E58" s="104"/>
      <c r="F58" s="104"/>
      <c r="G58" s="69"/>
      <c r="H58" s="69"/>
      <c r="I58" s="69"/>
      <c r="J58" s="69"/>
      <c r="K58" s="69"/>
      <c r="L58" s="69"/>
      <c r="M58" s="69"/>
      <c r="N58" s="69"/>
      <c r="O58" s="69"/>
      <c r="P58" s="69"/>
      <c r="Q58" s="69"/>
      <c r="R58" s="69"/>
    </row>
    <row r="59" spans="2:18" ht="15.75" hidden="1" customHeight="1">
      <c r="B59" s="98"/>
      <c r="C59" s="99"/>
      <c r="D59" s="100"/>
      <c r="E59" s="100"/>
      <c r="F59" s="100"/>
      <c r="G59" s="69"/>
      <c r="H59" s="69"/>
      <c r="I59" s="69"/>
      <c r="J59" s="69"/>
      <c r="K59" s="69"/>
      <c r="L59" s="69"/>
      <c r="M59" s="69"/>
      <c r="N59" s="69"/>
      <c r="O59" s="69"/>
      <c r="P59" s="69"/>
      <c r="Q59" s="69"/>
      <c r="R59" s="69"/>
    </row>
    <row r="60" spans="2:18" ht="15.75" hidden="1" customHeight="1">
      <c r="B60" s="102"/>
      <c r="C60" s="103"/>
      <c r="D60" s="104"/>
      <c r="E60" s="104"/>
      <c r="F60" s="104"/>
      <c r="G60" s="69"/>
      <c r="H60" s="69"/>
      <c r="I60" s="69"/>
      <c r="J60" s="69"/>
      <c r="K60" s="69"/>
      <c r="L60" s="69"/>
      <c r="M60" s="69"/>
      <c r="N60" s="69"/>
      <c r="O60" s="69"/>
      <c r="P60" s="69"/>
      <c r="Q60" s="69"/>
      <c r="R60" s="69"/>
    </row>
    <row r="61" spans="2:18" ht="15.75" hidden="1" customHeight="1">
      <c r="B61" s="98"/>
      <c r="C61" s="99"/>
      <c r="D61" s="100"/>
      <c r="E61" s="100"/>
      <c r="F61" s="100"/>
      <c r="G61" s="69"/>
      <c r="H61" s="69"/>
      <c r="I61" s="69"/>
      <c r="J61" s="69"/>
      <c r="K61" s="69"/>
      <c r="L61" s="69"/>
      <c r="M61" s="69"/>
      <c r="N61" s="69"/>
      <c r="O61" s="69"/>
      <c r="P61" s="69"/>
      <c r="Q61" s="69"/>
      <c r="R61" s="69"/>
    </row>
    <row r="62" spans="2:18" ht="15.75" hidden="1" customHeight="1">
      <c r="B62" s="102"/>
      <c r="C62" s="103"/>
      <c r="D62" s="104"/>
      <c r="E62" s="104"/>
      <c r="F62" s="104"/>
      <c r="G62" s="69"/>
      <c r="H62" s="69"/>
      <c r="I62" s="69"/>
      <c r="J62" s="69"/>
      <c r="K62" s="69"/>
      <c r="L62" s="69"/>
      <c r="M62" s="69"/>
      <c r="N62" s="69"/>
      <c r="O62" s="69"/>
      <c r="P62" s="69"/>
      <c r="Q62" s="69"/>
      <c r="R62" s="69"/>
    </row>
    <row r="63" spans="2:18" ht="15.75" hidden="1" customHeight="1">
      <c r="B63" s="98"/>
      <c r="C63" s="99"/>
      <c r="D63" s="100"/>
      <c r="E63" s="100"/>
      <c r="F63" s="100"/>
      <c r="G63" s="69"/>
      <c r="H63" s="69"/>
      <c r="I63" s="69"/>
      <c r="J63" s="69"/>
      <c r="K63" s="69"/>
      <c r="L63" s="69"/>
      <c r="M63" s="69"/>
      <c r="N63" s="69"/>
      <c r="O63" s="69"/>
      <c r="P63" s="69"/>
      <c r="Q63" s="69"/>
      <c r="R63" s="69"/>
    </row>
    <row r="64" spans="2:18" ht="15.75" hidden="1" customHeight="1">
      <c r="B64" s="102"/>
      <c r="C64" s="103"/>
      <c r="D64" s="104"/>
      <c r="E64" s="104"/>
      <c r="F64" s="104"/>
      <c r="G64" s="69"/>
      <c r="H64" s="69"/>
      <c r="I64" s="69"/>
      <c r="J64" s="69"/>
      <c r="K64" s="69"/>
      <c r="L64" s="69"/>
      <c r="M64" s="69"/>
      <c r="N64" s="69"/>
      <c r="O64" s="69"/>
      <c r="P64" s="69"/>
      <c r="Q64" s="69"/>
      <c r="R64" s="69"/>
    </row>
    <row r="65" spans="2:18" ht="15.75" hidden="1" customHeight="1">
      <c r="B65" s="98"/>
      <c r="C65" s="99"/>
      <c r="D65" s="100"/>
      <c r="E65" s="100"/>
      <c r="F65" s="100"/>
      <c r="G65" s="69"/>
      <c r="H65" s="69"/>
      <c r="I65" s="69"/>
      <c r="J65" s="69"/>
      <c r="K65" s="69"/>
      <c r="L65" s="69"/>
      <c r="M65" s="69"/>
      <c r="N65" s="69"/>
      <c r="O65" s="69"/>
      <c r="P65" s="69"/>
      <c r="Q65" s="69"/>
      <c r="R65" s="69"/>
    </row>
    <row r="66" spans="2:18" ht="15.75" hidden="1" customHeight="1">
      <c r="B66" s="102"/>
      <c r="C66" s="103"/>
      <c r="D66" s="104"/>
      <c r="E66" s="104"/>
      <c r="F66" s="104"/>
      <c r="G66" s="69"/>
      <c r="H66" s="69"/>
      <c r="I66" s="69"/>
      <c r="J66" s="69"/>
      <c r="K66" s="69"/>
      <c r="L66" s="69"/>
      <c r="M66" s="69"/>
      <c r="N66" s="69"/>
      <c r="O66" s="69"/>
      <c r="P66" s="69"/>
      <c r="Q66" s="69"/>
      <c r="R66" s="69"/>
    </row>
    <row r="67" spans="2:18" ht="15.75" hidden="1" customHeight="1">
      <c r="B67" s="98"/>
      <c r="C67" s="99"/>
      <c r="D67" s="100"/>
      <c r="E67" s="100"/>
      <c r="F67" s="100"/>
      <c r="G67" s="69"/>
      <c r="H67" s="69"/>
      <c r="I67" s="69"/>
      <c r="J67" s="69"/>
      <c r="K67" s="69"/>
      <c r="L67" s="69"/>
      <c r="M67" s="69"/>
      <c r="N67" s="69"/>
      <c r="O67" s="69"/>
      <c r="P67" s="69"/>
      <c r="Q67" s="69"/>
      <c r="R67" s="69"/>
    </row>
    <row r="68" spans="2:18" ht="15.75" hidden="1" customHeight="1">
      <c r="B68" s="102"/>
      <c r="C68" s="103"/>
      <c r="D68" s="104"/>
      <c r="E68" s="104"/>
      <c r="F68" s="104"/>
      <c r="G68" s="69"/>
      <c r="H68" s="69"/>
      <c r="I68" s="69"/>
      <c r="J68" s="69"/>
      <c r="K68" s="69"/>
      <c r="L68" s="69"/>
      <c r="M68" s="69"/>
      <c r="N68" s="69"/>
      <c r="O68" s="69"/>
      <c r="P68" s="69"/>
      <c r="Q68" s="69"/>
      <c r="R68" s="69"/>
    </row>
    <row r="69" spans="2:18" ht="15.75" hidden="1" customHeight="1">
      <c r="B69" s="98"/>
      <c r="C69" s="99"/>
      <c r="D69" s="100"/>
      <c r="E69" s="100"/>
      <c r="F69" s="100"/>
      <c r="G69" s="69"/>
      <c r="H69" s="69"/>
      <c r="I69" s="69"/>
      <c r="J69" s="69"/>
      <c r="K69" s="69"/>
      <c r="L69" s="69"/>
      <c r="M69" s="69"/>
      <c r="N69" s="69"/>
      <c r="O69" s="69"/>
      <c r="P69" s="69"/>
      <c r="Q69" s="69"/>
      <c r="R69" s="69"/>
    </row>
    <row r="70" spans="2:18" ht="15.75" hidden="1" customHeight="1">
      <c r="B70" s="102"/>
      <c r="C70" s="103"/>
      <c r="D70" s="104"/>
      <c r="E70" s="104"/>
      <c r="F70" s="104"/>
      <c r="G70" s="69"/>
      <c r="H70" s="69"/>
      <c r="I70" s="69"/>
      <c r="J70" s="69"/>
      <c r="K70" s="69"/>
      <c r="L70" s="69"/>
      <c r="M70" s="69"/>
      <c r="N70" s="69"/>
      <c r="O70" s="69"/>
      <c r="P70" s="69"/>
      <c r="Q70" s="69"/>
      <c r="R70" s="69"/>
    </row>
    <row r="71" spans="2:18" ht="15.75" hidden="1" customHeight="1">
      <c r="B71" s="98"/>
      <c r="C71" s="99"/>
      <c r="D71" s="100"/>
      <c r="E71" s="100"/>
      <c r="F71" s="100"/>
      <c r="G71" s="69"/>
      <c r="H71" s="69"/>
      <c r="I71" s="69"/>
      <c r="J71" s="69"/>
      <c r="K71" s="69"/>
      <c r="L71" s="69"/>
      <c r="M71" s="69"/>
      <c r="N71" s="69"/>
      <c r="O71" s="69"/>
      <c r="P71" s="69"/>
      <c r="Q71" s="69"/>
      <c r="R71" s="69"/>
    </row>
    <row r="72" spans="2:18" ht="15.75" hidden="1" customHeight="1">
      <c r="B72" s="102"/>
      <c r="C72" s="103"/>
      <c r="D72" s="104"/>
      <c r="E72" s="104"/>
      <c r="F72" s="104"/>
      <c r="G72" s="69"/>
      <c r="H72" s="69"/>
      <c r="I72" s="69"/>
      <c r="J72" s="69"/>
      <c r="K72" s="69"/>
      <c r="L72" s="69"/>
      <c r="M72" s="69"/>
      <c r="N72" s="69"/>
      <c r="O72" s="69"/>
      <c r="P72" s="69"/>
      <c r="Q72" s="69"/>
      <c r="R72" s="69"/>
    </row>
    <row r="73" spans="2:18" ht="15.75" hidden="1" customHeight="1">
      <c r="B73" s="98"/>
      <c r="C73" s="99"/>
      <c r="D73" s="100"/>
      <c r="E73" s="100"/>
      <c r="F73" s="100"/>
      <c r="G73" s="69"/>
      <c r="H73" s="69"/>
      <c r="I73" s="69"/>
      <c r="J73" s="69"/>
      <c r="K73" s="69"/>
      <c r="L73" s="69"/>
      <c r="M73" s="69"/>
      <c r="N73" s="69"/>
      <c r="O73" s="69"/>
      <c r="P73" s="69"/>
      <c r="Q73" s="69"/>
      <c r="R73" s="69"/>
    </row>
    <row r="74" spans="2:18" ht="15.75" hidden="1" customHeight="1">
      <c r="B74" s="102"/>
      <c r="C74" s="103"/>
      <c r="D74" s="104"/>
      <c r="E74" s="104"/>
      <c r="F74" s="104"/>
      <c r="G74" s="69"/>
      <c r="H74" s="69"/>
      <c r="I74" s="69"/>
      <c r="J74" s="69"/>
      <c r="K74" s="69"/>
      <c r="L74" s="69"/>
      <c r="M74" s="69"/>
      <c r="N74" s="69"/>
      <c r="O74" s="69"/>
      <c r="P74" s="69"/>
      <c r="Q74" s="69"/>
      <c r="R74" s="69"/>
    </row>
    <row r="75" spans="2:18" ht="15.75" hidden="1" customHeight="1">
      <c r="B75" s="98"/>
      <c r="C75" s="99"/>
      <c r="D75" s="100"/>
      <c r="E75" s="100"/>
      <c r="F75" s="100"/>
      <c r="G75" s="69"/>
      <c r="H75" s="69"/>
      <c r="I75" s="69"/>
      <c r="J75" s="69"/>
      <c r="K75" s="69"/>
      <c r="L75" s="69"/>
      <c r="M75" s="69"/>
      <c r="N75" s="69"/>
      <c r="O75" s="69"/>
      <c r="P75" s="69"/>
      <c r="Q75" s="69"/>
      <c r="R75" s="69"/>
    </row>
    <row r="76" spans="2:18" ht="15.75" hidden="1" customHeight="1">
      <c r="B76" s="102"/>
      <c r="C76" s="103"/>
      <c r="D76" s="104"/>
      <c r="E76" s="104"/>
      <c r="F76" s="104"/>
      <c r="G76" s="69"/>
      <c r="H76" s="69"/>
      <c r="I76" s="69"/>
      <c r="J76" s="69"/>
      <c r="K76" s="69"/>
      <c r="L76" s="69"/>
      <c r="M76" s="69"/>
      <c r="N76" s="69"/>
      <c r="O76" s="69"/>
      <c r="P76" s="69"/>
      <c r="Q76" s="69"/>
      <c r="R76" s="69"/>
    </row>
    <row r="77" spans="2:18" ht="15.75" hidden="1" customHeight="1">
      <c r="B77" s="98"/>
      <c r="C77" s="99"/>
      <c r="D77" s="100"/>
      <c r="E77" s="100"/>
      <c r="F77" s="100"/>
      <c r="G77" s="69"/>
      <c r="H77" s="69"/>
      <c r="I77" s="69"/>
      <c r="J77" s="69"/>
      <c r="K77" s="69"/>
      <c r="L77" s="69"/>
      <c r="M77" s="69"/>
      <c r="N77" s="69"/>
      <c r="O77" s="69"/>
      <c r="P77" s="69"/>
      <c r="Q77" s="69"/>
      <c r="R77" s="69"/>
    </row>
    <row r="78" spans="2:18" ht="15.75" hidden="1" customHeight="1">
      <c r="B78" s="102"/>
      <c r="C78" s="103"/>
      <c r="D78" s="104"/>
      <c r="E78" s="104"/>
      <c r="F78" s="104"/>
      <c r="G78" s="69"/>
      <c r="H78" s="69"/>
      <c r="I78" s="69"/>
      <c r="J78" s="69"/>
      <c r="K78" s="69"/>
      <c r="L78" s="69"/>
      <c r="M78" s="69"/>
      <c r="N78" s="69"/>
      <c r="O78" s="69"/>
      <c r="P78" s="69"/>
      <c r="Q78" s="69"/>
      <c r="R78" s="69"/>
    </row>
    <row r="79" spans="2:18" ht="15.75" hidden="1" customHeight="1">
      <c r="B79" s="98"/>
      <c r="C79" s="99"/>
      <c r="D79" s="100"/>
      <c r="E79" s="100"/>
      <c r="F79" s="100"/>
      <c r="G79" s="69"/>
      <c r="H79" s="69"/>
      <c r="I79" s="69"/>
      <c r="J79" s="69"/>
      <c r="K79" s="69"/>
      <c r="L79" s="69"/>
      <c r="M79" s="69"/>
      <c r="N79" s="69"/>
      <c r="O79" s="69"/>
      <c r="P79" s="69"/>
      <c r="Q79" s="69"/>
      <c r="R79" s="69"/>
    </row>
    <row r="80" spans="2:18" ht="15.75" hidden="1" customHeight="1">
      <c r="B80" s="102"/>
      <c r="C80" s="103"/>
      <c r="D80" s="104"/>
      <c r="E80" s="104"/>
      <c r="F80" s="104"/>
      <c r="G80" s="69"/>
      <c r="H80" s="69"/>
      <c r="I80" s="69"/>
      <c r="J80" s="69"/>
      <c r="K80" s="69"/>
      <c r="L80" s="69"/>
      <c r="M80" s="69"/>
      <c r="N80" s="69"/>
      <c r="O80" s="69"/>
      <c r="P80" s="69"/>
      <c r="Q80" s="69"/>
      <c r="R80" s="69"/>
    </row>
    <row r="81" spans="2:18" ht="15.75" hidden="1" customHeight="1">
      <c r="B81" s="98"/>
      <c r="C81" s="99"/>
      <c r="D81" s="100"/>
      <c r="E81" s="100"/>
      <c r="F81" s="100"/>
      <c r="G81" s="69"/>
      <c r="H81" s="69"/>
      <c r="I81" s="69"/>
      <c r="J81" s="69"/>
      <c r="K81" s="69"/>
      <c r="L81" s="69"/>
      <c r="M81" s="69"/>
      <c r="N81" s="69"/>
      <c r="O81" s="69"/>
      <c r="P81" s="69"/>
      <c r="Q81" s="69"/>
      <c r="R81" s="69"/>
    </row>
    <row r="82" spans="2:18" ht="15.75" hidden="1" customHeight="1">
      <c r="B82" s="102"/>
      <c r="C82" s="103"/>
      <c r="D82" s="104"/>
      <c r="E82" s="104"/>
      <c r="F82" s="104"/>
      <c r="G82" s="69"/>
      <c r="H82" s="69"/>
      <c r="I82" s="69"/>
      <c r="J82" s="69"/>
      <c r="K82" s="69"/>
      <c r="L82" s="69"/>
      <c r="M82" s="69"/>
      <c r="N82" s="69"/>
      <c r="O82" s="69"/>
      <c r="P82" s="69"/>
      <c r="Q82" s="69"/>
      <c r="R82" s="69"/>
    </row>
    <row r="83" spans="2:18" ht="15.75" hidden="1" customHeight="1">
      <c r="B83" s="98"/>
      <c r="C83" s="99"/>
      <c r="D83" s="100"/>
      <c r="E83" s="100"/>
      <c r="F83" s="100"/>
      <c r="G83" s="69"/>
      <c r="H83" s="69"/>
      <c r="I83" s="69"/>
      <c r="J83" s="69"/>
      <c r="K83" s="69"/>
      <c r="L83" s="69"/>
      <c r="M83" s="69"/>
      <c r="N83" s="69"/>
      <c r="O83" s="69"/>
      <c r="P83" s="69"/>
      <c r="Q83" s="69"/>
      <c r="R83" s="69"/>
    </row>
    <row r="84" spans="2:18" ht="15.75" hidden="1" customHeight="1">
      <c r="B84" s="102"/>
      <c r="C84" s="103"/>
      <c r="D84" s="104"/>
      <c r="E84" s="104"/>
      <c r="F84" s="104"/>
      <c r="G84" s="69"/>
      <c r="H84" s="69"/>
      <c r="I84" s="69"/>
      <c r="J84" s="69"/>
      <c r="K84" s="69"/>
      <c r="L84" s="69"/>
      <c r="M84" s="69"/>
      <c r="N84" s="69"/>
      <c r="O84" s="69"/>
      <c r="P84" s="69"/>
      <c r="Q84" s="69"/>
      <c r="R84" s="69"/>
    </row>
    <row r="85" spans="2:18" ht="15.75" hidden="1" customHeight="1">
      <c r="B85" s="98"/>
      <c r="C85" s="99"/>
      <c r="D85" s="100"/>
      <c r="E85" s="100"/>
      <c r="F85" s="100"/>
      <c r="G85" s="69"/>
      <c r="H85" s="69"/>
      <c r="I85" s="69"/>
      <c r="J85" s="69"/>
      <c r="K85" s="69"/>
      <c r="L85" s="69"/>
      <c r="M85" s="69"/>
      <c r="N85" s="69"/>
      <c r="O85" s="69"/>
      <c r="P85" s="69"/>
      <c r="Q85" s="69"/>
      <c r="R85" s="69"/>
    </row>
    <row r="86" spans="2:18" ht="15.75" hidden="1" customHeight="1">
      <c r="B86" s="102"/>
      <c r="C86" s="103"/>
      <c r="D86" s="104"/>
      <c r="E86" s="104"/>
      <c r="F86" s="104"/>
      <c r="G86" s="69"/>
      <c r="H86" s="69"/>
      <c r="I86" s="69"/>
      <c r="J86" s="69"/>
      <c r="K86" s="69"/>
      <c r="L86" s="69"/>
      <c r="M86" s="69"/>
      <c r="N86" s="69"/>
      <c r="O86" s="69"/>
      <c r="P86" s="69"/>
      <c r="Q86" s="69"/>
      <c r="R86" s="69"/>
    </row>
    <row r="87" spans="2:18" ht="15.75" hidden="1" customHeight="1">
      <c r="B87" s="98"/>
      <c r="C87" s="99"/>
      <c r="D87" s="100"/>
      <c r="E87" s="100"/>
      <c r="F87" s="100"/>
      <c r="G87" s="69"/>
      <c r="H87" s="69"/>
      <c r="I87" s="69"/>
      <c r="J87" s="69"/>
      <c r="K87" s="69"/>
      <c r="L87" s="69"/>
      <c r="M87" s="69"/>
      <c r="N87" s="69"/>
      <c r="O87" s="69"/>
      <c r="P87" s="69"/>
      <c r="Q87" s="69"/>
      <c r="R87" s="69"/>
    </row>
    <row r="88" spans="2:18" ht="15.75" hidden="1" customHeight="1">
      <c r="B88" s="102"/>
      <c r="C88" s="103"/>
      <c r="D88" s="104"/>
      <c r="E88" s="104"/>
      <c r="F88" s="104"/>
      <c r="G88" s="69"/>
      <c r="H88" s="69"/>
      <c r="I88" s="69"/>
      <c r="J88" s="69"/>
      <c r="K88" s="69"/>
      <c r="L88" s="69"/>
      <c r="M88" s="69"/>
      <c r="N88" s="69"/>
      <c r="O88" s="69"/>
      <c r="P88" s="69"/>
      <c r="Q88" s="69"/>
      <c r="R88" s="69"/>
    </row>
    <row r="89" spans="2:18" ht="15.75" hidden="1" customHeight="1">
      <c r="B89" s="98"/>
      <c r="C89" s="99"/>
      <c r="D89" s="100"/>
      <c r="E89" s="100"/>
      <c r="F89" s="100"/>
      <c r="G89" s="69"/>
      <c r="H89" s="69"/>
      <c r="I89" s="69"/>
      <c r="J89" s="69"/>
      <c r="K89" s="69"/>
      <c r="L89" s="69"/>
      <c r="M89" s="69"/>
      <c r="N89" s="69"/>
      <c r="O89" s="69"/>
      <c r="P89" s="69"/>
      <c r="Q89" s="69"/>
      <c r="R89" s="69"/>
    </row>
    <row r="90" spans="2:18" ht="15.75" hidden="1" customHeight="1">
      <c r="B90" s="102"/>
      <c r="C90" s="103"/>
      <c r="D90" s="104"/>
      <c r="E90" s="104"/>
      <c r="F90" s="104"/>
      <c r="G90" s="69"/>
      <c r="H90" s="69"/>
      <c r="I90" s="69"/>
      <c r="J90" s="69"/>
      <c r="K90" s="69"/>
      <c r="L90" s="69"/>
      <c r="M90" s="69"/>
      <c r="N90" s="69"/>
      <c r="O90" s="69"/>
      <c r="P90" s="69"/>
      <c r="Q90" s="69"/>
      <c r="R90" s="69"/>
    </row>
    <row r="91" spans="2:18" ht="15.75" hidden="1" customHeight="1">
      <c r="B91" s="98"/>
      <c r="C91" s="99"/>
      <c r="D91" s="100"/>
      <c r="E91" s="100"/>
      <c r="F91" s="100"/>
      <c r="G91" s="69"/>
      <c r="H91" s="69"/>
      <c r="I91" s="69"/>
      <c r="J91" s="69"/>
      <c r="K91" s="69"/>
      <c r="L91" s="69"/>
      <c r="M91" s="69"/>
      <c r="N91" s="69"/>
      <c r="O91" s="69"/>
      <c r="P91" s="69"/>
      <c r="Q91" s="69"/>
      <c r="R91" s="69"/>
    </row>
    <row r="92" spans="2:18" ht="15.75" hidden="1" customHeight="1">
      <c r="B92" s="102"/>
      <c r="C92" s="103"/>
      <c r="D92" s="104"/>
      <c r="E92" s="104"/>
      <c r="F92" s="104"/>
      <c r="G92" s="69"/>
      <c r="H92" s="69"/>
      <c r="I92" s="69"/>
      <c r="J92" s="69"/>
      <c r="K92" s="69"/>
      <c r="L92" s="69"/>
      <c r="M92" s="69"/>
      <c r="N92" s="69"/>
      <c r="O92" s="69"/>
      <c r="P92" s="69"/>
      <c r="Q92" s="69"/>
      <c r="R92" s="69"/>
    </row>
    <row r="93" spans="2:18" ht="15.75" hidden="1" customHeight="1">
      <c r="B93" s="98"/>
      <c r="C93" s="99"/>
      <c r="D93" s="100"/>
      <c r="E93" s="100"/>
      <c r="F93" s="100"/>
      <c r="G93" s="69"/>
      <c r="H93" s="69"/>
      <c r="I93" s="69"/>
      <c r="J93" s="69"/>
      <c r="K93" s="69"/>
      <c r="L93" s="69"/>
      <c r="M93" s="69"/>
      <c r="N93" s="69"/>
      <c r="O93" s="69"/>
      <c r="P93" s="69"/>
      <c r="Q93" s="69"/>
      <c r="R93" s="69"/>
    </row>
    <row r="94" spans="2:18" ht="15.75" hidden="1" customHeight="1">
      <c r="B94" s="102"/>
      <c r="C94" s="103"/>
      <c r="D94" s="104"/>
      <c r="E94" s="104"/>
      <c r="F94" s="104"/>
      <c r="G94" s="69"/>
      <c r="H94" s="69"/>
      <c r="I94" s="69"/>
      <c r="J94" s="69"/>
      <c r="K94" s="69"/>
      <c r="L94" s="69"/>
      <c r="M94" s="69"/>
      <c r="N94" s="69"/>
      <c r="O94" s="69"/>
      <c r="P94" s="69"/>
      <c r="Q94" s="69"/>
      <c r="R94" s="69"/>
    </row>
    <row r="95" spans="2:18" ht="15.75" hidden="1" customHeight="1">
      <c r="B95" s="98"/>
      <c r="C95" s="99"/>
      <c r="D95" s="100"/>
      <c r="E95" s="100"/>
      <c r="F95" s="100"/>
      <c r="G95" s="69"/>
      <c r="H95" s="69"/>
      <c r="I95" s="69"/>
      <c r="J95" s="69"/>
      <c r="K95" s="69"/>
      <c r="L95" s="69"/>
      <c r="M95" s="69"/>
      <c r="N95" s="69"/>
      <c r="O95" s="69"/>
      <c r="P95" s="69"/>
      <c r="Q95" s="69"/>
      <c r="R95" s="69"/>
    </row>
    <row r="96" spans="2:18" ht="15.75" hidden="1" customHeight="1">
      <c r="B96" s="102"/>
      <c r="C96" s="103"/>
      <c r="D96" s="104"/>
      <c r="E96" s="104"/>
      <c r="F96" s="104"/>
      <c r="G96" s="69"/>
      <c r="H96" s="69"/>
      <c r="I96" s="69"/>
      <c r="J96" s="69"/>
      <c r="K96" s="69"/>
      <c r="L96" s="69"/>
      <c r="M96" s="69"/>
      <c r="N96" s="69"/>
      <c r="O96" s="69"/>
      <c r="P96" s="69"/>
      <c r="Q96" s="69"/>
      <c r="R96" s="69"/>
    </row>
    <row r="97" spans="2:18" ht="15.75" hidden="1" customHeight="1">
      <c r="B97" s="98"/>
      <c r="C97" s="99"/>
      <c r="D97" s="100"/>
      <c r="E97" s="100"/>
      <c r="F97" s="100"/>
      <c r="G97" s="69"/>
      <c r="H97" s="69"/>
      <c r="I97" s="69"/>
      <c r="J97" s="69"/>
      <c r="K97" s="69"/>
      <c r="L97" s="69"/>
      <c r="M97" s="69"/>
      <c r="N97" s="69"/>
      <c r="O97" s="69"/>
      <c r="P97" s="69"/>
      <c r="Q97" s="69"/>
      <c r="R97" s="69"/>
    </row>
    <row r="98" spans="2:18" ht="15.75" hidden="1" customHeight="1">
      <c r="B98" s="102"/>
      <c r="C98" s="103"/>
      <c r="D98" s="104"/>
      <c r="E98" s="104"/>
      <c r="F98" s="104"/>
      <c r="G98" s="69"/>
      <c r="H98" s="69"/>
      <c r="I98" s="69"/>
      <c r="J98" s="69"/>
      <c r="K98" s="69"/>
      <c r="L98" s="69"/>
      <c r="M98" s="69"/>
      <c r="N98" s="69"/>
      <c r="O98" s="69"/>
      <c r="P98" s="69"/>
      <c r="Q98" s="69"/>
      <c r="R98" s="69"/>
    </row>
    <row r="99" spans="2:18" ht="15.75" hidden="1" customHeight="1">
      <c r="B99" s="98"/>
      <c r="C99" s="99"/>
      <c r="D99" s="100"/>
      <c r="E99" s="100"/>
      <c r="F99" s="100"/>
      <c r="G99" s="69"/>
      <c r="H99" s="69"/>
      <c r="I99" s="69"/>
      <c r="J99" s="69"/>
      <c r="K99" s="69"/>
      <c r="L99" s="69"/>
      <c r="M99" s="69"/>
      <c r="N99" s="69"/>
      <c r="O99" s="69"/>
      <c r="P99" s="69"/>
      <c r="Q99" s="69"/>
      <c r="R99" s="69"/>
    </row>
    <row r="100" spans="2:18" ht="15.75" hidden="1" customHeight="1">
      <c r="B100" s="102"/>
      <c r="C100" s="103"/>
      <c r="D100" s="104"/>
      <c r="E100" s="104"/>
      <c r="F100" s="104"/>
      <c r="G100" s="69"/>
      <c r="H100" s="69"/>
      <c r="I100" s="69"/>
      <c r="J100" s="69"/>
      <c r="K100" s="69"/>
      <c r="L100" s="69"/>
      <c r="M100" s="69"/>
      <c r="N100" s="69"/>
      <c r="O100" s="69"/>
      <c r="P100" s="69"/>
      <c r="Q100" s="69"/>
      <c r="R100" s="69"/>
    </row>
    <row r="101" spans="2:18" ht="15.75" hidden="1" customHeight="1">
      <c r="B101" s="98"/>
      <c r="C101" s="99"/>
      <c r="D101" s="100"/>
      <c r="E101" s="100"/>
      <c r="F101" s="100"/>
      <c r="G101" s="69"/>
      <c r="H101" s="69"/>
      <c r="I101" s="69"/>
      <c r="J101" s="69"/>
      <c r="K101" s="69"/>
      <c r="L101" s="69"/>
      <c r="M101" s="69"/>
      <c r="N101" s="69"/>
      <c r="O101" s="69"/>
      <c r="P101" s="69"/>
      <c r="Q101" s="69"/>
      <c r="R101" s="69"/>
    </row>
    <row r="102" spans="2:18" ht="15.75" hidden="1" customHeight="1">
      <c r="B102" s="102"/>
      <c r="C102" s="103"/>
      <c r="D102" s="104"/>
      <c r="E102" s="104"/>
      <c r="F102" s="104"/>
      <c r="G102" s="69"/>
      <c r="H102" s="69"/>
      <c r="I102" s="69"/>
      <c r="J102" s="69"/>
      <c r="K102" s="69"/>
      <c r="L102" s="69"/>
      <c r="M102" s="69"/>
      <c r="N102" s="69"/>
      <c r="O102" s="69"/>
      <c r="P102" s="69"/>
      <c r="Q102" s="69"/>
      <c r="R102" s="69"/>
    </row>
    <row r="103" spans="2:18" ht="15.75" hidden="1" customHeight="1">
      <c r="B103" s="98"/>
      <c r="C103" s="99"/>
      <c r="D103" s="100"/>
      <c r="E103" s="100"/>
      <c r="F103" s="100"/>
      <c r="G103" s="69"/>
      <c r="H103" s="69"/>
      <c r="I103" s="69"/>
      <c r="J103" s="69"/>
      <c r="K103" s="69"/>
      <c r="L103" s="69"/>
      <c r="M103" s="69"/>
      <c r="N103" s="69"/>
      <c r="O103" s="69"/>
      <c r="P103" s="69"/>
      <c r="Q103" s="69"/>
      <c r="R103" s="69"/>
    </row>
    <row r="104" spans="2:18" ht="15.75" hidden="1" customHeight="1">
      <c r="B104" s="102"/>
      <c r="C104" s="103"/>
      <c r="D104" s="104"/>
      <c r="E104" s="104"/>
      <c r="F104" s="104"/>
      <c r="G104" s="69"/>
      <c r="H104" s="69"/>
      <c r="I104" s="69"/>
      <c r="J104" s="69"/>
      <c r="K104" s="69"/>
      <c r="L104" s="69"/>
      <c r="M104" s="69"/>
      <c r="N104" s="69"/>
      <c r="O104" s="69"/>
      <c r="P104" s="69"/>
      <c r="Q104" s="69"/>
      <c r="R104" s="69"/>
    </row>
    <row r="105" spans="2:18" ht="15.75" hidden="1" customHeight="1">
      <c r="B105" s="98"/>
      <c r="C105" s="99"/>
      <c r="D105" s="100"/>
      <c r="E105" s="100"/>
      <c r="F105" s="100"/>
      <c r="G105" s="69"/>
      <c r="H105" s="69"/>
      <c r="I105" s="69"/>
      <c r="J105" s="69"/>
      <c r="K105" s="69"/>
      <c r="L105" s="69"/>
      <c r="M105" s="69"/>
      <c r="N105" s="69"/>
      <c r="O105" s="69"/>
      <c r="P105" s="69"/>
      <c r="Q105" s="69"/>
      <c r="R105" s="69"/>
    </row>
    <row r="106" spans="2:18" ht="15.75" hidden="1" customHeight="1">
      <c r="B106" s="102"/>
      <c r="C106" s="103"/>
      <c r="D106" s="104"/>
      <c r="E106" s="104"/>
      <c r="F106" s="104"/>
      <c r="G106" s="69"/>
      <c r="H106" s="69"/>
      <c r="I106" s="69"/>
      <c r="J106" s="69"/>
      <c r="K106" s="69"/>
      <c r="L106" s="69"/>
      <c r="M106" s="69"/>
      <c r="N106" s="69"/>
      <c r="O106" s="69"/>
      <c r="P106" s="69"/>
      <c r="Q106" s="69"/>
      <c r="R106" s="69"/>
    </row>
    <row r="107" spans="2:18" ht="15.75" hidden="1" customHeight="1">
      <c r="B107" s="98"/>
      <c r="C107" s="99"/>
      <c r="D107" s="100"/>
      <c r="E107" s="100"/>
      <c r="F107" s="100"/>
      <c r="G107" s="69"/>
      <c r="H107" s="69"/>
      <c r="I107" s="69"/>
      <c r="J107" s="69"/>
      <c r="K107" s="69"/>
      <c r="L107" s="69"/>
      <c r="M107" s="69"/>
      <c r="N107" s="69"/>
      <c r="O107" s="69"/>
      <c r="P107" s="69"/>
      <c r="Q107" s="69"/>
      <c r="R107" s="69"/>
    </row>
    <row r="108" spans="2:18" ht="15.75" hidden="1" customHeight="1">
      <c r="B108" s="102"/>
      <c r="C108" s="103"/>
      <c r="D108" s="104"/>
      <c r="E108" s="104"/>
      <c r="F108" s="104"/>
      <c r="G108" s="69"/>
      <c r="H108" s="69"/>
      <c r="I108" s="69"/>
      <c r="J108" s="69"/>
      <c r="K108" s="69"/>
      <c r="L108" s="69"/>
      <c r="M108" s="69"/>
      <c r="N108" s="69"/>
      <c r="O108" s="69"/>
      <c r="P108" s="69"/>
      <c r="Q108" s="69"/>
      <c r="R108" s="69"/>
    </row>
    <row r="109" spans="2:18" ht="15.75" hidden="1" customHeight="1">
      <c r="B109" s="98"/>
      <c r="C109" s="99"/>
      <c r="D109" s="100"/>
      <c r="E109" s="100"/>
      <c r="F109" s="100"/>
      <c r="G109" s="69"/>
      <c r="H109" s="69"/>
      <c r="I109" s="69"/>
      <c r="J109" s="69"/>
      <c r="K109" s="69"/>
      <c r="L109" s="69"/>
      <c r="M109" s="69"/>
      <c r="N109" s="69"/>
      <c r="O109" s="69"/>
      <c r="P109" s="69"/>
      <c r="Q109" s="69"/>
      <c r="R109" s="69"/>
    </row>
    <row r="110" spans="2:18" ht="15.75" hidden="1" customHeight="1">
      <c r="B110" s="102"/>
      <c r="C110" s="103"/>
      <c r="D110" s="104"/>
      <c r="E110" s="104"/>
      <c r="F110" s="104"/>
      <c r="G110" s="69"/>
      <c r="H110" s="69"/>
      <c r="I110" s="69"/>
      <c r="J110" s="69"/>
      <c r="K110" s="69"/>
      <c r="L110" s="69"/>
      <c r="M110" s="69"/>
      <c r="N110" s="69"/>
      <c r="O110" s="69"/>
      <c r="P110" s="69"/>
      <c r="Q110" s="69"/>
      <c r="R110" s="69"/>
    </row>
    <row r="111" spans="2:18" ht="15.75" hidden="1" customHeight="1">
      <c r="B111" s="98"/>
      <c r="C111" s="99"/>
      <c r="D111" s="100"/>
      <c r="E111" s="100"/>
      <c r="F111" s="100"/>
      <c r="G111" s="69"/>
      <c r="H111" s="69"/>
      <c r="I111" s="69"/>
      <c r="J111" s="69"/>
      <c r="K111" s="69"/>
      <c r="L111" s="69"/>
      <c r="M111" s="69"/>
      <c r="N111" s="69"/>
      <c r="O111" s="69"/>
      <c r="P111" s="69"/>
      <c r="Q111" s="69"/>
      <c r="R111" s="69"/>
    </row>
    <row r="112" spans="2:18" ht="15.75" hidden="1" customHeight="1">
      <c r="B112" s="102"/>
      <c r="C112" s="103"/>
      <c r="D112" s="104"/>
      <c r="E112" s="104"/>
      <c r="F112" s="104"/>
      <c r="G112" s="69"/>
      <c r="H112" s="69"/>
      <c r="I112" s="69"/>
      <c r="J112" s="69"/>
      <c r="K112" s="69"/>
      <c r="L112" s="69"/>
      <c r="M112" s="69"/>
      <c r="N112" s="69"/>
      <c r="O112" s="69"/>
      <c r="P112" s="69"/>
      <c r="Q112" s="69"/>
      <c r="R112" s="69"/>
    </row>
    <row r="113" spans="2:18" ht="15.75" hidden="1" customHeight="1">
      <c r="B113" s="98"/>
      <c r="C113" s="99"/>
      <c r="D113" s="100"/>
      <c r="E113" s="100"/>
      <c r="F113" s="100"/>
      <c r="G113" s="69"/>
      <c r="H113" s="69"/>
      <c r="I113" s="69"/>
      <c r="J113" s="69"/>
      <c r="K113" s="69"/>
      <c r="L113" s="69"/>
      <c r="M113" s="69"/>
      <c r="N113" s="69"/>
      <c r="O113" s="69"/>
      <c r="P113" s="69"/>
      <c r="Q113" s="69"/>
      <c r="R113" s="69"/>
    </row>
    <row r="114" spans="2:18" ht="15.75" hidden="1" customHeight="1">
      <c r="B114" s="102"/>
      <c r="C114" s="103"/>
      <c r="D114" s="104"/>
      <c r="E114" s="104"/>
      <c r="F114" s="104"/>
      <c r="G114" s="69"/>
      <c r="H114" s="69"/>
      <c r="I114" s="69"/>
      <c r="J114" s="69"/>
      <c r="K114" s="69"/>
      <c r="L114" s="69"/>
      <c r="M114" s="69"/>
      <c r="N114" s="69"/>
      <c r="O114" s="69"/>
      <c r="P114" s="69"/>
      <c r="Q114" s="69"/>
      <c r="R114" s="69"/>
    </row>
    <row r="115" spans="2:18" ht="15.75" hidden="1" customHeight="1">
      <c r="B115" s="98"/>
      <c r="C115" s="99"/>
      <c r="D115" s="100"/>
      <c r="E115" s="100"/>
      <c r="F115" s="100"/>
      <c r="G115" s="69"/>
      <c r="H115" s="69"/>
      <c r="I115" s="69"/>
      <c r="J115" s="69"/>
      <c r="K115" s="69"/>
      <c r="L115" s="69"/>
      <c r="M115" s="69"/>
      <c r="N115" s="69"/>
      <c r="O115" s="69"/>
      <c r="P115" s="69"/>
      <c r="Q115" s="69"/>
      <c r="R115" s="69"/>
    </row>
    <row r="116" spans="2:18" ht="15.75" hidden="1" customHeight="1">
      <c r="B116" s="102"/>
      <c r="C116" s="103"/>
      <c r="D116" s="104"/>
      <c r="E116" s="104"/>
      <c r="F116" s="104"/>
      <c r="G116" s="69"/>
      <c r="H116" s="69"/>
      <c r="I116" s="69"/>
      <c r="J116" s="69"/>
      <c r="K116" s="69"/>
      <c r="L116" s="69"/>
      <c r="M116" s="69"/>
      <c r="N116" s="69"/>
      <c r="O116" s="69"/>
      <c r="P116" s="69"/>
      <c r="Q116" s="69"/>
      <c r="R116" s="69"/>
    </row>
    <row r="117" spans="2:18" ht="15.75" hidden="1" customHeight="1">
      <c r="B117" s="98"/>
      <c r="C117" s="99"/>
      <c r="D117" s="100"/>
      <c r="E117" s="100"/>
      <c r="F117" s="100"/>
      <c r="G117" s="69"/>
      <c r="H117" s="69"/>
      <c r="I117" s="69"/>
      <c r="J117" s="69"/>
      <c r="K117" s="69"/>
      <c r="L117" s="69"/>
      <c r="M117" s="69"/>
      <c r="N117" s="69"/>
      <c r="O117" s="69"/>
      <c r="P117" s="69"/>
      <c r="Q117" s="69"/>
      <c r="R117" s="69"/>
    </row>
    <row r="118" spans="2:18" ht="15.75" hidden="1" customHeight="1">
      <c r="B118" s="102"/>
      <c r="C118" s="103"/>
      <c r="D118" s="104"/>
      <c r="E118" s="104"/>
      <c r="F118" s="104"/>
      <c r="G118" s="69"/>
      <c r="H118" s="69"/>
      <c r="I118" s="69"/>
      <c r="J118" s="69"/>
      <c r="K118" s="69"/>
      <c r="L118" s="69"/>
      <c r="M118" s="69"/>
      <c r="N118" s="69"/>
      <c r="O118" s="69"/>
      <c r="P118" s="69"/>
      <c r="Q118" s="69"/>
      <c r="R118" s="69"/>
    </row>
    <row r="119" spans="2:18" ht="15.75" hidden="1" customHeight="1">
      <c r="B119" s="98"/>
      <c r="C119" s="99"/>
      <c r="D119" s="100"/>
      <c r="E119" s="100"/>
      <c r="F119" s="100"/>
      <c r="G119" s="69"/>
      <c r="H119" s="69"/>
      <c r="I119" s="69"/>
      <c r="J119" s="69"/>
      <c r="K119" s="69"/>
      <c r="L119" s="69"/>
      <c r="M119" s="69"/>
      <c r="N119" s="69"/>
      <c r="O119" s="69"/>
      <c r="P119" s="69"/>
      <c r="Q119" s="69"/>
      <c r="R119" s="69"/>
    </row>
    <row r="120" spans="2:18" ht="15.75" hidden="1" customHeight="1">
      <c r="B120" s="102"/>
      <c r="C120" s="103"/>
      <c r="D120" s="104"/>
      <c r="E120" s="104"/>
      <c r="F120" s="104"/>
      <c r="G120" s="69"/>
      <c r="H120" s="69"/>
      <c r="I120" s="69"/>
      <c r="J120" s="69"/>
      <c r="K120" s="69"/>
      <c r="L120" s="69"/>
      <c r="M120" s="69"/>
      <c r="N120" s="69"/>
      <c r="O120" s="69"/>
      <c r="P120" s="69"/>
      <c r="Q120" s="69"/>
      <c r="R120" s="69"/>
    </row>
    <row r="121" spans="2:18" ht="15.75" hidden="1" customHeight="1">
      <c r="B121" s="98"/>
      <c r="C121" s="99"/>
      <c r="D121" s="100"/>
      <c r="E121" s="100"/>
      <c r="F121" s="100"/>
      <c r="G121" s="69"/>
      <c r="H121" s="69"/>
      <c r="I121" s="69"/>
      <c r="J121" s="69"/>
      <c r="K121" s="69"/>
      <c r="L121" s="69"/>
      <c r="M121" s="69"/>
      <c r="N121" s="69"/>
      <c r="O121" s="69"/>
      <c r="P121" s="69"/>
      <c r="Q121" s="69"/>
      <c r="R121" s="69"/>
    </row>
    <row r="122" spans="2:18" ht="15.75" hidden="1" customHeight="1">
      <c r="B122" s="102"/>
      <c r="C122" s="103"/>
      <c r="D122" s="104"/>
      <c r="E122" s="104"/>
      <c r="F122" s="104"/>
      <c r="G122" s="69"/>
      <c r="H122" s="69"/>
      <c r="I122" s="69"/>
      <c r="J122" s="69"/>
      <c r="K122" s="69"/>
      <c r="L122" s="69"/>
      <c r="M122" s="69"/>
      <c r="N122" s="69"/>
      <c r="O122" s="69"/>
      <c r="P122" s="69"/>
      <c r="Q122" s="69"/>
      <c r="R122" s="69"/>
    </row>
    <row r="123" spans="2:18" ht="15.75" hidden="1" customHeight="1">
      <c r="B123" s="98"/>
      <c r="C123" s="99"/>
      <c r="D123" s="100"/>
      <c r="E123" s="100"/>
      <c r="F123" s="100"/>
      <c r="G123" s="69"/>
      <c r="H123" s="69"/>
      <c r="I123" s="69"/>
      <c r="J123" s="69"/>
      <c r="K123" s="69"/>
      <c r="L123" s="69"/>
      <c r="M123" s="69"/>
      <c r="N123" s="69"/>
      <c r="O123" s="69"/>
      <c r="P123" s="69"/>
      <c r="Q123" s="69"/>
      <c r="R123" s="69"/>
    </row>
    <row r="124" spans="2:18" ht="15.75" hidden="1" customHeight="1">
      <c r="B124" s="102"/>
      <c r="C124" s="103"/>
      <c r="D124" s="104"/>
      <c r="E124" s="104"/>
      <c r="F124" s="104"/>
      <c r="G124" s="69"/>
      <c r="H124" s="69"/>
      <c r="I124" s="69"/>
      <c r="J124" s="69"/>
      <c r="K124" s="69"/>
      <c r="L124" s="69"/>
      <c r="M124" s="69"/>
      <c r="N124" s="69"/>
      <c r="O124" s="69"/>
      <c r="P124" s="69"/>
      <c r="Q124" s="69"/>
      <c r="R124" s="69"/>
    </row>
    <row r="125" spans="2:18" ht="15.75" hidden="1" customHeight="1">
      <c r="B125" s="98"/>
      <c r="C125" s="99"/>
      <c r="D125" s="100"/>
      <c r="E125" s="100"/>
      <c r="F125" s="100"/>
      <c r="G125" s="69"/>
      <c r="H125" s="69"/>
      <c r="I125" s="69"/>
      <c r="J125" s="69"/>
      <c r="K125" s="69"/>
      <c r="L125" s="69"/>
      <c r="M125" s="69"/>
      <c r="N125" s="69"/>
      <c r="O125" s="69"/>
      <c r="P125" s="69"/>
      <c r="Q125" s="69"/>
      <c r="R125" s="69"/>
    </row>
    <row r="126" spans="2:18" ht="15.75" hidden="1" customHeight="1">
      <c r="B126" s="102"/>
      <c r="C126" s="103"/>
      <c r="D126" s="104"/>
      <c r="E126" s="104"/>
      <c r="F126" s="104"/>
      <c r="G126" s="69"/>
      <c r="H126" s="69"/>
      <c r="I126" s="69"/>
      <c r="J126" s="69"/>
      <c r="K126" s="69"/>
      <c r="L126" s="69"/>
      <c r="M126" s="69"/>
      <c r="N126" s="69"/>
      <c r="O126" s="69"/>
      <c r="P126" s="69"/>
      <c r="Q126" s="69"/>
      <c r="R126" s="69"/>
    </row>
    <row r="127" spans="2:18" ht="15.75" hidden="1" customHeight="1">
      <c r="B127" s="98"/>
      <c r="C127" s="99"/>
      <c r="D127" s="100"/>
      <c r="E127" s="100"/>
      <c r="F127" s="100"/>
      <c r="G127" s="69"/>
      <c r="H127" s="69"/>
      <c r="I127" s="69"/>
      <c r="J127" s="69"/>
      <c r="K127" s="69"/>
      <c r="L127" s="69"/>
      <c r="M127" s="69"/>
      <c r="N127" s="69"/>
      <c r="O127" s="69"/>
      <c r="P127" s="69"/>
      <c r="Q127" s="69"/>
      <c r="R127" s="69"/>
    </row>
    <row r="128" spans="2:18" ht="15.75" hidden="1" customHeight="1">
      <c r="B128" s="102"/>
      <c r="C128" s="103"/>
      <c r="D128" s="104"/>
      <c r="E128" s="104"/>
      <c r="F128" s="104"/>
      <c r="G128" s="69"/>
      <c r="H128" s="69"/>
      <c r="I128" s="69"/>
      <c r="J128" s="69"/>
      <c r="K128" s="69"/>
      <c r="L128" s="69"/>
      <c r="M128" s="69"/>
      <c r="N128" s="69"/>
      <c r="O128" s="69"/>
      <c r="P128" s="69"/>
      <c r="Q128" s="69"/>
      <c r="R128" s="69"/>
    </row>
    <row r="129" spans="2:18" ht="15.75" hidden="1" customHeight="1">
      <c r="B129" s="98"/>
      <c r="C129" s="99"/>
      <c r="D129" s="100"/>
      <c r="E129" s="100"/>
      <c r="F129" s="100"/>
      <c r="G129" s="69"/>
      <c r="H129" s="69"/>
      <c r="I129" s="69"/>
      <c r="J129" s="69"/>
      <c r="K129" s="69"/>
      <c r="L129" s="69"/>
      <c r="M129" s="69"/>
      <c r="N129" s="69"/>
      <c r="O129" s="69"/>
      <c r="P129" s="69"/>
      <c r="Q129" s="69"/>
      <c r="R129" s="69"/>
    </row>
    <row r="130" spans="2:18" ht="15.75" hidden="1" customHeight="1">
      <c r="B130" s="102"/>
      <c r="C130" s="103"/>
      <c r="D130" s="104"/>
      <c r="E130" s="104"/>
      <c r="F130" s="104"/>
      <c r="G130" s="69"/>
      <c r="H130" s="69"/>
      <c r="I130" s="69"/>
      <c r="J130" s="69"/>
      <c r="K130" s="69"/>
      <c r="L130" s="69"/>
      <c r="M130" s="69"/>
      <c r="N130" s="69"/>
      <c r="O130" s="69"/>
      <c r="P130" s="69"/>
      <c r="Q130" s="69"/>
      <c r="R130" s="69"/>
    </row>
    <row r="131" spans="2:18" ht="15.75" hidden="1" customHeight="1">
      <c r="B131" s="98"/>
      <c r="C131" s="99"/>
      <c r="D131" s="100"/>
      <c r="E131" s="100"/>
      <c r="F131" s="100"/>
      <c r="G131" s="69"/>
      <c r="H131" s="69"/>
      <c r="I131" s="69"/>
      <c r="J131" s="69"/>
      <c r="K131" s="69"/>
      <c r="L131" s="69"/>
      <c r="M131" s="69"/>
      <c r="N131" s="69"/>
      <c r="O131" s="69"/>
      <c r="P131" s="69"/>
      <c r="Q131" s="69"/>
      <c r="R131" s="69"/>
    </row>
    <row r="132" spans="2:18" ht="15.75" hidden="1" customHeight="1">
      <c r="B132" s="102"/>
      <c r="C132" s="103"/>
      <c r="D132" s="104"/>
      <c r="E132" s="104"/>
      <c r="F132" s="104"/>
      <c r="G132" s="69"/>
      <c r="H132" s="69"/>
      <c r="I132" s="69"/>
      <c r="J132" s="69"/>
      <c r="K132" s="69"/>
      <c r="L132" s="69"/>
      <c r="M132" s="69"/>
      <c r="N132" s="69"/>
      <c r="O132" s="69"/>
      <c r="P132" s="69"/>
      <c r="Q132" s="69"/>
      <c r="R132" s="69"/>
    </row>
    <row r="133" spans="2:18" ht="15.75" hidden="1" customHeight="1">
      <c r="B133" s="98"/>
      <c r="C133" s="99"/>
      <c r="D133" s="100"/>
      <c r="E133" s="100"/>
      <c r="F133" s="100"/>
      <c r="G133" s="69"/>
      <c r="H133" s="69"/>
      <c r="I133" s="69"/>
      <c r="J133" s="69"/>
      <c r="K133" s="69"/>
      <c r="L133" s="69"/>
      <c r="M133" s="69"/>
      <c r="N133" s="69"/>
      <c r="O133" s="69"/>
      <c r="P133" s="69"/>
      <c r="Q133" s="69"/>
      <c r="R133" s="69"/>
    </row>
    <row r="134" spans="2:18" ht="15.75" hidden="1" customHeight="1">
      <c r="B134" s="102"/>
      <c r="C134" s="103"/>
      <c r="D134" s="104"/>
      <c r="E134" s="104"/>
      <c r="F134" s="104"/>
      <c r="G134" s="69"/>
      <c r="H134" s="69"/>
      <c r="I134" s="69"/>
      <c r="J134" s="69"/>
      <c r="K134" s="69"/>
      <c r="L134" s="69"/>
      <c r="M134" s="69"/>
      <c r="N134" s="69"/>
      <c r="O134" s="69"/>
      <c r="P134" s="69"/>
      <c r="Q134" s="69"/>
      <c r="R134" s="69"/>
    </row>
    <row r="135" spans="2:18" ht="15.75" hidden="1" customHeight="1">
      <c r="B135" s="98"/>
      <c r="C135" s="99"/>
      <c r="D135" s="100"/>
      <c r="E135" s="100"/>
      <c r="F135" s="100"/>
      <c r="G135" s="69"/>
      <c r="H135" s="69"/>
      <c r="I135" s="69"/>
      <c r="J135" s="69"/>
      <c r="K135" s="69"/>
      <c r="L135" s="69"/>
      <c r="M135" s="69"/>
      <c r="N135" s="69"/>
      <c r="O135" s="69"/>
      <c r="P135" s="69"/>
      <c r="Q135" s="69"/>
      <c r="R135" s="69"/>
    </row>
    <row r="136" spans="2:18" ht="15.75" hidden="1" customHeight="1">
      <c r="B136" s="102"/>
      <c r="C136" s="103"/>
      <c r="D136" s="104"/>
      <c r="E136" s="104"/>
      <c r="F136" s="104"/>
      <c r="G136" s="69"/>
      <c r="H136" s="69"/>
      <c r="I136" s="69"/>
      <c r="J136" s="69"/>
      <c r="K136" s="69"/>
      <c r="L136" s="69"/>
      <c r="M136" s="69"/>
      <c r="N136" s="69"/>
      <c r="O136" s="69"/>
      <c r="P136" s="69"/>
      <c r="Q136" s="69"/>
      <c r="R136" s="69"/>
    </row>
    <row r="137" spans="2:18" ht="15.75" hidden="1" customHeight="1">
      <c r="B137" s="98"/>
      <c r="C137" s="99"/>
      <c r="D137" s="100"/>
      <c r="E137" s="100"/>
      <c r="F137" s="100"/>
      <c r="G137" s="69"/>
      <c r="H137" s="69"/>
      <c r="I137" s="69"/>
      <c r="J137" s="69"/>
      <c r="K137" s="69"/>
      <c r="L137" s="69"/>
      <c r="M137" s="69"/>
      <c r="N137" s="69"/>
      <c r="O137" s="69"/>
      <c r="P137" s="69"/>
      <c r="Q137" s="69"/>
      <c r="R137" s="69"/>
    </row>
    <row r="138" spans="2:18" ht="15.75" hidden="1" customHeight="1">
      <c r="B138" s="102"/>
      <c r="C138" s="103"/>
      <c r="D138" s="104"/>
      <c r="E138" s="104"/>
      <c r="F138" s="104"/>
      <c r="G138" s="69"/>
      <c r="H138" s="69"/>
      <c r="I138" s="69"/>
      <c r="J138" s="69"/>
      <c r="K138" s="69"/>
      <c r="L138" s="69"/>
      <c r="M138" s="69"/>
      <c r="N138" s="69"/>
      <c r="O138" s="69"/>
      <c r="P138" s="69"/>
      <c r="Q138" s="69"/>
      <c r="R138" s="69"/>
    </row>
    <row r="139" spans="2:18" ht="15.75" hidden="1" customHeight="1">
      <c r="B139" s="98"/>
      <c r="C139" s="99"/>
      <c r="D139" s="100"/>
      <c r="E139" s="100"/>
      <c r="F139" s="100"/>
      <c r="G139" s="69"/>
      <c r="H139" s="69"/>
      <c r="I139" s="69"/>
      <c r="J139" s="69"/>
      <c r="K139" s="69"/>
      <c r="L139" s="69"/>
      <c r="M139" s="69"/>
      <c r="N139" s="69"/>
      <c r="O139" s="69"/>
      <c r="P139" s="69"/>
      <c r="Q139" s="69"/>
      <c r="R139" s="69"/>
    </row>
    <row r="140" spans="2:18" ht="15.75" hidden="1" customHeight="1">
      <c r="B140" s="102"/>
      <c r="C140" s="103"/>
      <c r="D140" s="104"/>
      <c r="E140" s="104"/>
      <c r="F140" s="104"/>
      <c r="G140" s="69"/>
      <c r="H140" s="69"/>
      <c r="I140" s="69"/>
      <c r="J140" s="69"/>
      <c r="K140" s="69"/>
      <c r="L140" s="69"/>
      <c r="M140" s="69"/>
      <c r="N140" s="69"/>
      <c r="O140" s="69"/>
      <c r="P140" s="69"/>
      <c r="Q140" s="69"/>
      <c r="R140" s="69"/>
    </row>
    <row r="141" spans="2:18" ht="15.75" hidden="1" customHeight="1">
      <c r="B141" s="98"/>
      <c r="C141" s="99"/>
      <c r="D141" s="100"/>
      <c r="E141" s="100"/>
      <c r="F141" s="100"/>
      <c r="G141" s="69"/>
      <c r="H141" s="69"/>
      <c r="I141" s="69"/>
      <c r="J141" s="69"/>
      <c r="K141" s="69"/>
      <c r="L141" s="69"/>
      <c r="M141" s="69"/>
      <c r="N141" s="69"/>
      <c r="O141" s="69"/>
      <c r="P141" s="69"/>
      <c r="Q141" s="69"/>
      <c r="R141" s="69"/>
    </row>
    <row r="142" spans="2:18" ht="15.75" hidden="1" customHeight="1">
      <c r="B142" s="102"/>
      <c r="C142" s="103"/>
      <c r="D142" s="104"/>
      <c r="E142" s="104"/>
      <c r="F142" s="104"/>
      <c r="G142" s="69"/>
      <c r="H142" s="69"/>
      <c r="I142" s="69"/>
      <c r="J142" s="69"/>
      <c r="K142" s="69"/>
      <c r="L142" s="69"/>
      <c r="M142" s="69"/>
      <c r="N142" s="69"/>
      <c r="O142" s="69"/>
      <c r="P142" s="69"/>
      <c r="Q142" s="69"/>
      <c r="R142" s="69"/>
    </row>
    <row r="143" spans="2:18" ht="15.75" hidden="1" customHeight="1">
      <c r="B143" s="98"/>
      <c r="C143" s="99"/>
      <c r="D143" s="100"/>
      <c r="E143" s="100"/>
      <c r="F143" s="100"/>
      <c r="G143" s="69"/>
      <c r="H143" s="69"/>
      <c r="I143" s="69"/>
      <c r="J143" s="69"/>
      <c r="K143" s="69"/>
      <c r="L143" s="69"/>
      <c r="M143" s="69"/>
      <c r="N143" s="69"/>
      <c r="O143" s="69"/>
      <c r="P143" s="69"/>
      <c r="Q143" s="69"/>
      <c r="R143" s="69"/>
    </row>
    <row r="144" spans="2:18" ht="15.75" hidden="1" customHeight="1">
      <c r="B144" s="102"/>
      <c r="C144" s="103"/>
      <c r="D144" s="104"/>
      <c r="E144" s="104"/>
      <c r="F144" s="104"/>
      <c r="G144" s="69"/>
      <c r="H144" s="69"/>
      <c r="I144" s="69"/>
      <c r="J144" s="69"/>
      <c r="K144" s="69"/>
      <c r="L144" s="69"/>
      <c r="M144" s="69"/>
      <c r="N144" s="69"/>
      <c r="O144" s="69"/>
      <c r="P144" s="69"/>
      <c r="Q144" s="69"/>
      <c r="R144" s="69"/>
    </row>
    <row r="145" spans="2:18" ht="15.75" hidden="1" customHeight="1">
      <c r="B145" s="98"/>
      <c r="C145" s="99"/>
      <c r="D145" s="100"/>
      <c r="E145" s="100"/>
      <c r="F145" s="100"/>
      <c r="G145" s="69"/>
      <c r="H145" s="69"/>
      <c r="I145" s="69"/>
      <c r="J145" s="69"/>
      <c r="K145" s="69"/>
      <c r="L145" s="69"/>
      <c r="M145" s="69"/>
      <c r="N145" s="69"/>
      <c r="O145" s="69"/>
      <c r="P145" s="69"/>
      <c r="Q145" s="69"/>
      <c r="R145" s="69"/>
    </row>
    <row r="146" spans="2:18" ht="15.75" hidden="1" customHeight="1">
      <c r="B146" s="102"/>
      <c r="C146" s="103"/>
      <c r="D146" s="104"/>
      <c r="E146" s="104"/>
      <c r="F146" s="104"/>
      <c r="G146" s="69"/>
      <c r="H146" s="69"/>
      <c r="I146" s="69"/>
      <c r="J146" s="69"/>
      <c r="K146" s="69"/>
      <c r="L146" s="69"/>
      <c r="M146" s="69"/>
      <c r="N146" s="69"/>
      <c r="O146" s="69"/>
      <c r="P146" s="69"/>
      <c r="Q146" s="69"/>
      <c r="R146" s="69"/>
    </row>
    <row r="147" spans="2:18" ht="15.75" hidden="1" customHeight="1">
      <c r="B147" s="98"/>
      <c r="C147" s="99"/>
      <c r="D147" s="100"/>
      <c r="E147" s="100"/>
      <c r="F147" s="100"/>
      <c r="G147" s="69"/>
      <c r="H147" s="69"/>
      <c r="I147" s="69"/>
      <c r="J147" s="69"/>
      <c r="K147" s="69"/>
      <c r="L147" s="69"/>
      <c r="M147" s="69"/>
      <c r="N147" s="69"/>
      <c r="O147" s="69"/>
      <c r="P147" s="69"/>
      <c r="Q147" s="69"/>
      <c r="R147" s="69"/>
    </row>
    <row r="148" spans="2:18" ht="15.75" hidden="1" customHeight="1">
      <c r="B148" s="102"/>
      <c r="C148" s="103"/>
      <c r="D148" s="104"/>
      <c r="E148" s="104"/>
      <c r="F148" s="104"/>
      <c r="G148" s="69"/>
      <c r="H148" s="69"/>
      <c r="I148" s="69"/>
      <c r="J148" s="69"/>
      <c r="K148" s="69"/>
      <c r="L148" s="69"/>
      <c r="M148" s="69"/>
      <c r="N148" s="69"/>
      <c r="O148" s="69"/>
      <c r="P148" s="69"/>
      <c r="Q148" s="69"/>
      <c r="R148" s="69"/>
    </row>
    <row r="149" spans="2:18" ht="15.75" hidden="1" customHeight="1">
      <c r="B149" s="98"/>
      <c r="C149" s="99"/>
      <c r="D149" s="100"/>
      <c r="E149" s="100"/>
      <c r="F149" s="100"/>
      <c r="G149" s="69"/>
      <c r="H149" s="69"/>
      <c r="I149" s="69"/>
      <c r="J149" s="69"/>
      <c r="K149" s="69"/>
      <c r="L149" s="69"/>
      <c r="M149" s="69"/>
      <c r="N149" s="69"/>
      <c r="O149" s="69"/>
      <c r="P149" s="69"/>
      <c r="Q149" s="69"/>
      <c r="R149" s="69"/>
    </row>
    <row r="150" spans="2:18" ht="15.75" hidden="1" customHeight="1">
      <c r="B150" s="102"/>
      <c r="C150" s="103"/>
      <c r="D150" s="104"/>
      <c r="E150" s="104"/>
      <c r="F150" s="104"/>
      <c r="G150" s="69"/>
      <c r="H150" s="69"/>
      <c r="I150" s="69"/>
      <c r="J150" s="69"/>
      <c r="K150" s="69"/>
      <c r="L150" s="69"/>
      <c r="M150" s="69"/>
      <c r="N150" s="69"/>
      <c r="O150" s="69"/>
      <c r="P150" s="69"/>
      <c r="Q150" s="69"/>
      <c r="R150" s="69"/>
    </row>
    <row r="151" spans="2:18" ht="15.75" hidden="1" customHeight="1">
      <c r="B151" s="98"/>
      <c r="C151" s="99"/>
      <c r="D151" s="100"/>
      <c r="E151" s="100"/>
      <c r="F151" s="100"/>
      <c r="G151" s="69"/>
      <c r="H151" s="69"/>
      <c r="I151" s="69"/>
      <c r="J151" s="69"/>
      <c r="K151" s="69"/>
      <c r="L151" s="69"/>
      <c r="M151" s="69"/>
      <c r="N151" s="69"/>
      <c r="O151" s="69"/>
      <c r="P151" s="69"/>
      <c r="Q151" s="69"/>
      <c r="R151" s="69"/>
    </row>
    <row r="152" spans="2:18" ht="15.75" hidden="1" customHeight="1">
      <c r="B152" s="102"/>
      <c r="C152" s="103"/>
      <c r="D152" s="104"/>
      <c r="E152" s="104"/>
      <c r="F152" s="104"/>
      <c r="G152" s="69"/>
      <c r="H152" s="69"/>
      <c r="I152" s="69"/>
      <c r="J152" s="69"/>
      <c r="K152" s="69"/>
      <c r="L152" s="69"/>
      <c r="M152" s="69"/>
      <c r="N152" s="69"/>
      <c r="O152" s="69"/>
      <c r="P152" s="69"/>
      <c r="Q152" s="69"/>
      <c r="R152" s="69"/>
    </row>
    <row r="153" spans="2:18" ht="15.75" hidden="1" customHeight="1">
      <c r="B153" s="98"/>
      <c r="C153" s="99"/>
      <c r="D153" s="100"/>
      <c r="E153" s="100"/>
      <c r="F153" s="100"/>
      <c r="G153" s="69"/>
      <c r="H153" s="69"/>
      <c r="I153" s="69"/>
      <c r="J153" s="69"/>
      <c r="K153" s="69"/>
      <c r="L153" s="69"/>
      <c r="M153" s="69"/>
      <c r="N153" s="69"/>
      <c r="O153" s="69"/>
      <c r="P153" s="69"/>
      <c r="Q153" s="69"/>
      <c r="R153" s="69"/>
    </row>
    <row r="154" spans="2:18" ht="15.75" hidden="1" customHeight="1">
      <c r="B154" s="102"/>
      <c r="C154" s="103"/>
      <c r="D154" s="104"/>
      <c r="E154" s="104"/>
      <c r="F154" s="104"/>
      <c r="G154" s="69"/>
      <c r="H154" s="69"/>
      <c r="I154" s="69"/>
      <c r="J154" s="69"/>
      <c r="K154" s="69"/>
      <c r="L154" s="69"/>
      <c r="M154" s="69"/>
      <c r="N154" s="69"/>
      <c r="O154" s="69"/>
      <c r="P154" s="69"/>
      <c r="Q154" s="69"/>
      <c r="R154" s="69"/>
    </row>
    <row r="155" spans="2:18" ht="15.75" hidden="1" customHeight="1">
      <c r="B155" s="98"/>
      <c r="C155" s="99"/>
      <c r="D155" s="100"/>
      <c r="E155" s="100"/>
      <c r="F155" s="100"/>
      <c r="G155" s="69"/>
      <c r="H155" s="69"/>
      <c r="I155" s="69"/>
      <c r="J155" s="69"/>
      <c r="K155" s="69"/>
      <c r="L155" s="69"/>
      <c r="M155" s="69"/>
      <c r="N155" s="69"/>
      <c r="O155" s="69"/>
      <c r="P155" s="69"/>
      <c r="Q155" s="69"/>
      <c r="R155" s="69"/>
    </row>
    <row r="156" spans="2:18" ht="15.75" hidden="1" customHeight="1">
      <c r="B156" s="102"/>
      <c r="C156" s="103"/>
      <c r="D156" s="104"/>
      <c r="E156" s="104"/>
      <c r="F156" s="104"/>
      <c r="G156" s="69"/>
      <c r="H156" s="69"/>
      <c r="I156" s="69"/>
      <c r="J156" s="69"/>
      <c r="K156" s="69"/>
      <c r="L156" s="69"/>
      <c r="M156" s="69"/>
      <c r="N156" s="69"/>
      <c r="O156" s="69"/>
      <c r="P156" s="69"/>
      <c r="Q156" s="69"/>
      <c r="R156" s="69"/>
    </row>
    <row r="157" spans="2:18" ht="15.75" hidden="1" customHeight="1">
      <c r="B157" s="98"/>
      <c r="C157" s="99"/>
      <c r="D157" s="100"/>
      <c r="E157" s="100"/>
      <c r="F157" s="100"/>
      <c r="G157" s="69"/>
      <c r="H157" s="69"/>
      <c r="I157" s="69"/>
      <c r="J157" s="69"/>
      <c r="K157" s="69"/>
      <c r="L157" s="69"/>
      <c r="M157" s="69"/>
      <c r="N157" s="69"/>
      <c r="O157" s="69"/>
      <c r="P157" s="69"/>
      <c r="Q157" s="69"/>
      <c r="R157" s="69"/>
    </row>
    <row r="158" spans="2:18" ht="15.75" hidden="1" customHeight="1">
      <c r="B158" s="102"/>
      <c r="C158" s="103"/>
      <c r="D158" s="104"/>
      <c r="E158" s="104"/>
      <c r="F158" s="104"/>
      <c r="G158" s="69"/>
      <c r="H158" s="69"/>
      <c r="I158" s="69"/>
      <c r="J158" s="69"/>
      <c r="K158" s="69"/>
      <c r="L158" s="69"/>
      <c r="M158" s="69"/>
      <c r="N158" s="69"/>
      <c r="O158" s="69"/>
      <c r="P158" s="69"/>
      <c r="Q158" s="69"/>
      <c r="R158" s="69"/>
    </row>
    <row r="159" spans="2:18" ht="15.75" hidden="1" customHeight="1">
      <c r="B159" s="98"/>
      <c r="C159" s="99"/>
      <c r="D159" s="100"/>
      <c r="E159" s="100"/>
      <c r="F159" s="100"/>
      <c r="G159" s="69"/>
      <c r="H159" s="69"/>
      <c r="I159" s="69"/>
      <c r="J159" s="69"/>
      <c r="K159" s="69"/>
      <c r="L159" s="69"/>
      <c r="M159" s="69"/>
      <c r="N159" s="69"/>
      <c r="O159" s="69"/>
      <c r="P159" s="69"/>
      <c r="Q159" s="69"/>
      <c r="R159" s="69"/>
    </row>
    <row r="160" spans="2:18" ht="15.75" hidden="1" customHeight="1">
      <c r="B160" s="102"/>
      <c r="C160" s="103"/>
      <c r="D160" s="104"/>
      <c r="E160" s="104"/>
      <c r="F160" s="104"/>
      <c r="G160" s="69"/>
      <c r="H160" s="69"/>
      <c r="I160" s="69"/>
      <c r="J160" s="69"/>
      <c r="K160" s="69"/>
      <c r="L160" s="69"/>
      <c r="M160" s="69"/>
      <c r="N160" s="69"/>
      <c r="O160" s="69"/>
      <c r="P160" s="69"/>
      <c r="Q160" s="69"/>
      <c r="R160" s="69"/>
    </row>
    <row r="161" spans="2:18" ht="15.75" hidden="1" customHeight="1">
      <c r="B161" s="98"/>
      <c r="C161" s="99"/>
      <c r="D161" s="100"/>
      <c r="E161" s="100"/>
      <c r="F161" s="100"/>
      <c r="G161" s="69"/>
      <c r="H161" s="69"/>
      <c r="I161" s="69"/>
      <c r="J161" s="69"/>
      <c r="K161" s="69"/>
      <c r="L161" s="69"/>
      <c r="M161" s="69"/>
      <c r="N161" s="69"/>
      <c r="O161" s="69"/>
      <c r="P161" s="69"/>
      <c r="Q161" s="69"/>
      <c r="R161" s="69"/>
    </row>
    <row r="162" spans="2:18" ht="15.75" hidden="1" customHeight="1">
      <c r="B162" s="102"/>
      <c r="C162" s="103"/>
      <c r="D162" s="104"/>
      <c r="E162" s="104"/>
      <c r="F162" s="104"/>
      <c r="G162" s="69"/>
      <c r="H162" s="69"/>
      <c r="I162" s="69"/>
      <c r="J162" s="69"/>
      <c r="K162" s="69"/>
      <c r="L162" s="69"/>
      <c r="M162" s="69"/>
      <c r="N162" s="69"/>
      <c r="O162" s="69"/>
      <c r="P162" s="69"/>
      <c r="Q162" s="69"/>
      <c r="R162" s="69"/>
    </row>
    <row r="163" spans="2:18" ht="15.75" hidden="1" customHeight="1">
      <c r="B163" s="98"/>
      <c r="C163" s="99"/>
      <c r="D163" s="100"/>
      <c r="E163" s="100"/>
      <c r="F163" s="100"/>
      <c r="G163" s="69"/>
      <c r="H163" s="69"/>
      <c r="I163" s="69"/>
      <c r="J163" s="69"/>
      <c r="K163" s="69"/>
      <c r="L163" s="69"/>
      <c r="M163" s="69"/>
      <c r="N163" s="69"/>
      <c r="O163" s="69"/>
      <c r="P163" s="69"/>
      <c r="Q163" s="69"/>
      <c r="R163" s="69"/>
    </row>
    <row r="164" spans="2:18" ht="15.75" hidden="1" customHeight="1">
      <c r="B164" s="102"/>
      <c r="C164" s="103"/>
      <c r="D164" s="104"/>
      <c r="E164" s="104"/>
      <c r="F164" s="104"/>
      <c r="G164" s="69"/>
      <c r="H164" s="69"/>
      <c r="I164" s="69"/>
      <c r="J164" s="69"/>
      <c r="K164" s="69"/>
      <c r="L164" s="69"/>
      <c r="M164" s="69"/>
      <c r="N164" s="69"/>
      <c r="O164" s="69"/>
      <c r="P164" s="69"/>
      <c r="Q164" s="69"/>
      <c r="R164" s="69"/>
    </row>
    <row r="165" spans="2:18" ht="15.75" hidden="1" customHeight="1">
      <c r="B165" s="98"/>
      <c r="C165" s="99"/>
      <c r="D165" s="100"/>
      <c r="E165" s="100"/>
      <c r="F165" s="100"/>
      <c r="G165" s="69"/>
      <c r="H165" s="69"/>
      <c r="I165" s="69"/>
      <c r="J165" s="69"/>
      <c r="K165" s="69"/>
      <c r="L165" s="69"/>
      <c r="M165" s="69"/>
      <c r="N165" s="69"/>
      <c r="O165" s="69"/>
      <c r="P165" s="69"/>
      <c r="Q165" s="69"/>
      <c r="R165" s="69"/>
    </row>
    <row r="166" spans="2:18" ht="15.75" hidden="1" customHeight="1">
      <c r="B166" s="102"/>
      <c r="C166" s="103"/>
      <c r="D166" s="104"/>
      <c r="E166" s="104"/>
      <c r="F166" s="104"/>
      <c r="G166" s="69"/>
      <c r="H166" s="69"/>
      <c r="I166" s="69"/>
      <c r="J166" s="69"/>
      <c r="K166" s="69"/>
      <c r="L166" s="69"/>
      <c r="M166" s="69"/>
      <c r="N166" s="69"/>
      <c r="O166" s="69"/>
      <c r="P166" s="69"/>
      <c r="Q166" s="69"/>
      <c r="R166" s="69"/>
    </row>
    <row r="167" spans="2:18" ht="15.75" hidden="1" customHeight="1">
      <c r="B167" s="98"/>
      <c r="C167" s="99"/>
      <c r="D167" s="100"/>
      <c r="E167" s="100"/>
      <c r="F167" s="100"/>
      <c r="G167" s="69"/>
      <c r="H167" s="69"/>
      <c r="I167" s="69"/>
      <c r="J167" s="69"/>
      <c r="K167" s="69"/>
      <c r="L167" s="69"/>
      <c r="M167" s="69"/>
      <c r="N167" s="69"/>
      <c r="O167" s="69"/>
      <c r="P167" s="69"/>
      <c r="Q167" s="69"/>
      <c r="R167" s="69"/>
    </row>
    <row r="168" spans="2:18" ht="15.75" hidden="1" customHeight="1">
      <c r="B168" s="102"/>
      <c r="C168" s="103"/>
      <c r="D168" s="104"/>
      <c r="E168" s="104"/>
      <c r="F168" s="104"/>
      <c r="G168" s="69"/>
      <c r="H168" s="69"/>
      <c r="I168" s="69"/>
      <c r="J168" s="69"/>
      <c r="K168" s="69"/>
      <c r="L168" s="69"/>
      <c r="M168" s="69"/>
      <c r="N168" s="69"/>
      <c r="O168" s="69"/>
      <c r="P168" s="69"/>
      <c r="Q168" s="69"/>
      <c r="R168" s="69"/>
    </row>
    <row r="169" spans="2:18" ht="15.75" hidden="1" customHeight="1">
      <c r="B169" s="98"/>
      <c r="C169" s="99"/>
      <c r="D169" s="100"/>
      <c r="E169" s="100"/>
      <c r="F169" s="100"/>
      <c r="G169" s="69"/>
      <c r="H169" s="69"/>
      <c r="I169" s="69"/>
      <c r="J169" s="69"/>
      <c r="K169" s="69"/>
      <c r="L169" s="69"/>
      <c r="M169" s="69"/>
      <c r="N169" s="69"/>
      <c r="O169" s="69"/>
      <c r="P169" s="69"/>
      <c r="Q169" s="69"/>
      <c r="R169" s="69"/>
    </row>
    <row r="170" spans="2:18" ht="15.75" hidden="1" customHeight="1">
      <c r="B170" s="102"/>
      <c r="C170" s="103"/>
      <c r="D170" s="104"/>
      <c r="E170" s="104"/>
      <c r="F170" s="104"/>
      <c r="G170" s="69"/>
      <c r="H170" s="69"/>
      <c r="I170" s="69"/>
      <c r="J170" s="69"/>
      <c r="K170" s="69"/>
      <c r="L170" s="69"/>
      <c r="M170" s="69"/>
      <c r="N170" s="69"/>
      <c r="O170" s="69"/>
      <c r="P170" s="69"/>
      <c r="Q170" s="69"/>
      <c r="R170" s="69"/>
    </row>
    <row r="171" spans="2:18" ht="15.75" hidden="1" customHeight="1">
      <c r="B171" s="98"/>
      <c r="C171" s="99"/>
      <c r="D171" s="100"/>
      <c r="E171" s="100"/>
      <c r="F171" s="100"/>
      <c r="G171" s="69"/>
      <c r="H171" s="69"/>
      <c r="I171" s="69"/>
      <c r="J171" s="69"/>
      <c r="K171" s="69"/>
      <c r="L171" s="69"/>
      <c r="M171" s="69"/>
      <c r="N171" s="69"/>
      <c r="O171" s="69"/>
      <c r="P171" s="69"/>
      <c r="Q171" s="69"/>
      <c r="R171" s="69"/>
    </row>
    <row r="172" spans="2:18" ht="15.75" hidden="1" customHeight="1">
      <c r="B172" s="102"/>
      <c r="C172" s="103"/>
      <c r="D172" s="104"/>
      <c r="E172" s="104"/>
      <c r="F172" s="104"/>
      <c r="G172" s="69"/>
      <c r="H172" s="69"/>
      <c r="I172" s="69"/>
      <c r="J172" s="69"/>
      <c r="K172" s="69"/>
      <c r="L172" s="69"/>
      <c r="M172" s="69"/>
      <c r="N172" s="69"/>
      <c r="O172" s="69"/>
      <c r="P172" s="69"/>
      <c r="Q172" s="69"/>
      <c r="R172" s="69"/>
    </row>
    <row r="173" spans="2:18" ht="15.75" hidden="1" customHeight="1">
      <c r="B173" s="98"/>
      <c r="C173" s="99"/>
      <c r="D173" s="100"/>
      <c r="E173" s="100"/>
      <c r="F173" s="100"/>
      <c r="G173" s="69"/>
      <c r="H173" s="69"/>
      <c r="I173" s="69"/>
      <c r="J173" s="69"/>
      <c r="K173" s="69"/>
      <c r="L173" s="69"/>
      <c r="M173" s="69"/>
      <c r="N173" s="69"/>
      <c r="O173" s="69"/>
      <c r="P173" s="69"/>
      <c r="Q173" s="69"/>
      <c r="R173" s="69"/>
    </row>
    <row r="174" spans="2:18" ht="15.75" hidden="1" customHeight="1">
      <c r="B174" s="102"/>
      <c r="C174" s="103"/>
      <c r="D174" s="104"/>
      <c r="E174" s="104"/>
      <c r="F174" s="104"/>
      <c r="G174" s="69"/>
      <c r="H174" s="69"/>
      <c r="I174" s="69"/>
      <c r="J174" s="69"/>
      <c r="K174" s="69"/>
      <c r="L174" s="69"/>
      <c r="M174" s="69"/>
      <c r="N174" s="69"/>
      <c r="O174" s="69"/>
      <c r="P174" s="69"/>
      <c r="Q174" s="69"/>
      <c r="R174" s="69"/>
    </row>
    <row r="175" spans="2:18" ht="15.75" hidden="1" customHeight="1">
      <c r="B175" s="98"/>
      <c r="C175" s="99"/>
      <c r="D175" s="100"/>
      <c r="E175" s="100"/>
      <c r="F175" s="100"/>
      <c r="G175" s="69"/>
      <c r="H175" s="69"/>
      <c r="I175" s="69"/>
      <c r="J175" s="69"/>
      <c r="K175" s="69"/>
      <c r="L175" s="69"/>
      <c r="M175" s="69"/>
      <c r="N175" s="69"/>
      <c r="O175" s="69"/>
      <c r="P175" s="69"/>
      <c r="Q175" s="69"/>
      <c r="R175" s="69"/>
    </row>
    <row r="176" spans="2:18" ht="15.75" hidden="1" customHeight="1">
      <c r="B176" s="102"/>
      <c r="C176" s="103"/>
      <c r="D176" s="104"/>
      <c r="E176" s="104"/>
      <c r="F176" s="104"/>
      <c r="G176" s="69"/>
      <c r="H176" s="69"/>
      <c r="I176" s="69"/>
      <c r="J176" s="69"/>
      <c r="K176" s="69"/>
      <c r="L176" s="69"/>
      <c r="M176" s="69"/>
      <c r="N176" s="69"/>
      <c r="O176" s="69"/>
      <c r="P176" s="69"/>
      <c r="Q176" s="69"/>
      <c r="R176" s="69"/>
    </row>
    <row r="177" spans="2:18" ht="15.75" hidden="1" customHeight="1">
      <c r="B177" s="98"/>
      <c r="C177" s="99"/>
      <c r="D177" s="100"/>
      <c r="E177" s="100"/>
      <c r="F177" s="100"/>
      <c r="G177" s="69"/>
      <c r="H177" s="69"/>
      <c r="I177" s="69"/>
      <c r="J177" s="69"/>
      <c r="K177" s="69"/>
      <c r="L177" s="69"/>
      <c r="M177" s="69"/>
      <c r="N177" s="69"/>
      <c r="O177" s="69"/>
      <c r="P177" s="69"/>
      <c r="Q177" s="69"/>
      <c r="R177" s="69"/>
    </row>
    <row r="178" spans="2:18" ht="15.75" hidden="1" customHeight="1">
      <c r="B178" s="102"/>
      <c r="C178" s="103"/>
      <c r="D178" s="104"/>
      <c r="E178" s="104"/>
      <c r="F178" s="104"/>
      <c r="G178" s="69"/>
      <c r="H178" s="69"/>
      <c r="I178" s="69"/>
      <c r="J178" s="69"/>
      <c r="K178" s="69"/>
      <c r="L178" s="69"/>
      <c r="M178" s="69"/>
      <c r="N178" s="69"/>
      <c r="O178" s="69"/>
      <c r="P178" s="69"/>
      <c r="Q178" s="69"/>
      <c r="R178" s="69"/>
    </row>
    <row r="179" spans="2:18" ht="15.75" hidden="1" customHeight="1">
      <c r="B179" s="98"/>
      <c r="C179" s="99"/>
      <c r="D179" s="100"/>
      <c r="E179" s="100"/>
      <c r="F179" s="100"/>
      <c r="G179" s="69"/>
      <c r="H179" s="69"/>
      <c r="I179" s="69"/>
      <c r="J179" s="69"/>
      <c r="K179" s="69"/>
      <c r="L179" s="69"/>
      <c r="M179" s="69"/>
      <c r="N179" s="69"/>
      <c r="O179" s="69"/>
      <c r="P179" s="69"/>
      <c r="Q179" s="69"/>
      <c r="R179" s="69"/>
    </row>
    <row r="180" spans="2:18" ht="15.75" hidden="1" customHeight="1">
      <c r="B180" s="102"/>
      <c r="C180" s="103"/>
      <c r="D180" s="104"/>
      <c r="E180" s="104"/>
      <c r="F180" s="104"/>
      <c r="G180" s="69"/>
      <c r="H180" s="69"/>
      <c r="I180" s="69"/>
      <c r="J180" s="69"/>
      <c r="K180" s="69"/>
      <c r="L180" s="69"/>
      <c r="M180" s="69"/>
      <c r="N180" s="69"/>
      <c r="O180" s="69"/>
      <c r="P180" s="69"/>
      <c r="Q180" s="69"/>
      <c r="R180" s="69"/>
    </row>
    <row r="181" spans="2:18" ht="15.75" hidden="1" customHeight="1">
      <c r="B181" s="98"/>
      <c r="C181" s="99"/>
      <c r="D181" s="100"/>
      <c r="E181" s="100"/>
      <c r="F181" s="100"/>
      <c r="G181" s="69"/>
      <c r="H181" s="69"/>
      <c r="I181" s="69"/>
      <c r="J181" s="69"/>
      <c r="K181" s="69"/>
      <c r="L181" s="69"/>
      <c r="M181" s="69"/>
      <c r="N181" s="69"/>
      <c r="O181" s="69"/>
      <c r="P181" s="69"/>
      <c r="Q181" s="69"/>
      <c r="R181" s="69"/>
    </row>
    <row r="182" spans="2:18" ht="15.75" hidden="1" customHeight="1">
      <c r="B182" s="102"/>
      <c r="C182" s="103"/>
      <c r="D182" s="104"/>
      <c r="E182" s="104"/>
      <c r="F182" s="104"/>
      <c r="G182" s="69"/>
      <c r="H182" s="69"/>
      <c r="I182" s="69"/>
      <c r="J182" s="69"/>
      <c r="K182" s="69"/>
      <c r="L182" s="69"/>
      <c r="M182" s="69"/>
      <c r="N182" s="69"/>
      <c r="O182" s="69"/>
      <c r="P182" s="69"/>
      <c r="Q182" s="69"/>
      <c r="R182" s="69"/>
    </row>
    <row r="183" spans="2:18" ht="15.75" hidden="1" customHeight="1">
      <c r="B183" s="98"/>
      <c r="C183" s="99"/>
      <c r="D183" s="100"/>
      <c r="E183" s="100"/>
      <c r="F183" s="100"/>
      <c r="G183" s="69"/>
      <c r="H183" s="69"/>
      <c r="I183" s="69"/>
      <c r="J183" s="69"/>
      <c r="K183" s="69"/>
      <c r="L183" s="69"/>
      <c r="M183" s="69"/>
      <c r="N183" s="69"/>
      <c r="O183" s="69"/>
      <c r="P183" s="69"/>
      <c r="Q183" s="69"/>
      <c r="R183" s="69"/>
    </row>
    <row r="184" spans="2:18" ht="15.75" hidden="1" customHeight="1">
      <c r="B184" s="102"/>
      <c r="C184" s="103"/>
      <c r="D184" s="104"/>
      <c r="E184" s="104"/>
      <c r="F184" s="104"/>
      <c r="G184" s="69"/>
      <c r="H184" s="69"/>
      <c r="I184" s="69"/>
      <c r="J184" s="69"/>
      <c r="K184" s="69"/>
      <c r="L184" s="69"/>
      <c r="M184" s="69"/>
      <c r="N184" s="69"/>
      <c r="O184" s="69"/>
      <c r="P184" s="69"/>
      <c r="Q184" s="69"/>
      <c r="R184" s="69"/>
    </row>
    <row r="185" spans="2:18" ht="15.75" hidden="1" customHeight="1">
      <c r="B185" s="98"/>
      <c r="C185" s="99"/>
      <c r="D185" s="100"/>
      <c r="E185" s="100"/>
      <c r="F185" s="100"/>
      <c r="G185" s="69"/>
      <c r="H185" s="69"/>
      <c r="I185" s="69"/>
      <c r="J185" s="69"/>
      <c r="K185" s="69"/>
      <c r="L185" s="69"/>
      <c r="M185" s="69"/>
      <c r="N185" s="69"/>
      <c r="O185" s="69"/>
      <c r="P185" s="69"/>
      <c r="Q185" s="69"/>
      <c r="R185" s="69"/>
    </row>
    <row r="186" spans="2:18" ht="15.75" hidden="1" customHeight="1">
      <c r="B186" s="102"/>
      <c r="C186" s="103"/>
      <c r="D186" s="104"/>
      <c r="E186" s="104"/>
      <c r="F186" s="104"/>
      <c r="G186" s="69"/>
      <c r="H186" s="69"/>
      <c r="I186" s="69"/>
      <c r="J186" s="69"/>
      <c r="K186" s="69"/>
      <c r="L186" s="69"/>
      <c r="M186" s="69"/>
      <c r="N186" s="69"/>
      <c r="O186" s="69"/>
      <c r="P186" s="69"/>
      <c r="Q186" s="69"/>
      <c r="R186" s="69"/>
    </row>
    <row r="187" spans="2:18" ht="15.75" hidden="1" customHeight="1">
      <c r="B187" s="98"/>
      <c r="C187" s="99"/>
      <c r="D187" s="100"/>
      <c r="E187" s="100"/>
      <c r="F187" s="100"/>
      <c r="G187" s="69"/>
      <c r="H187" s="69"/>
      <c r="I187" s="69"/>
      <c r="J187" s="69"/>
      <c r="K187" s="69"/>
      <c r="L187" s="69"/>
      <c r="M187" s="69"/>
      <c r="N187" s="69"/>
      <c r="O187" s="69"/>
      <c r="P187" s="69"/>
      <c r="Q187" s="69"/>
      <c r="R187" s="69"/>
    </row>
    <row r="188" spans="2:18" ht="15.75" hidden="1" customHeight="1">
      <c r="B188" s="102"/>
      <c r="C188" s="103"/>
      <c r="D188" s="104"/>
      <c r="E188" s="104"/>
      <c r="F188" s="104"/>
      <c r="G188" s="69"/>
      <c r="H188" s="69"/>
      <c r="I188" s="69"/>
      <c r="J188" s="69"/>
      <c r="K188" s="69"/>
      <c r="L188" s="69"/>
      <c r="M188" s="69"/>
      <c r="N188" s="69"/>
      <c r="O188" s="69"/>
      <c r="P188" s="69"/>
      <c r="Q188" s="69"/>
      <c r="R188" s="69"/>
    </row>
    <row r="189" spans="2:18" ht="15.75" hidden="1" customHeight="1">
      <c r="B189" s="98"/>
      <c r="C189" s="99"/>
      <c r="D189" s="100"/>
      <c r="E189" s="100"/>
      <c r="F189" s="100"/>
      <c r="G189" s="69"/>
      <c r="H189" s="69"/>
      <c r="I189" s="69"/>
      <c r="J189" s="69"/>
      <c r="K189" s="69"/>
      <c r="L189" s="69"/>
      <c r="M189" s="69"/>
      <c r="N189" s="69"/>
      <c r="O189" s="69"/>
      <c r="P189" s="69"/>
      <c r="Q189" s="69"/>
      <c r="R189" s="69"/>
    </row>
    <row r="190" spans="2:18" ht="15.75" hidden="1" customHeight="1">
      <c r="B190" s="102"/>
      <c r="C190" s="103"/>
      <c r="D190" s="104"/>
      <c r="E190" s="104"/>
      <c r="F190" s="104"/>
      <c r="G190" s="69"/>
      <c r="H190" s="69"/>
      <c r="I190" s="69"/>
      <c r="J190" s="69"/>
      <c r="K190" s="69"/>
      <c r="L190" s="69"/>
      <c r="M190" s="69"/>
      <c r="N190" s="69"/>
      <c r="O190" s="69"/>
      <c r="P190" s="69"/>
      <c r="Q190" s="69"/>
      <c r="R190" s="69"/>
    </row>
    <row r="191" spans="2:18" ht="15.75" hidden="1" customHeight="1">
      <c r="B191" s="98"/>
      <c r="C191" s="99"/>
      <c r="D191" s="100"/>
      <c r="E191" s="100"/>
      <c r="F191" s="100"/>
      <c r="G191" s="69"/>
      <c r="H191" s="69"/>
      <c r="I191" s="69"/>
      <c r="J191" s="69"/>
      <c r="K191" s="69"/>
      <c r="L191" s="69"/>
      <c r="M191" s="69"/>
      <c r="N191" s="69"/>
      <c r="O191" s="69"/>
      <c r="P191" s="69"/>
      <c r="Q191" s="69"/>
      <c r="R191" s="69"/>
    </row>
    <row r="192" spans="2:18" ht="15.75" hidden="1" customHeight="1">
      <c r="B192" s="102"/>
      <c r="C192" s="103"/>
      <c r="D192" s="104"/>
      <c r="E192" s="104"/>
      <c r="F192" s="104"/>
      <c r="G192" s="69"/>
      <c r="H192" s="69"/>
      <c r="I192" s="69"/>
      <c r="J192" s="69"/>
      <c r="K192" s="69"/>
      <c r="L192" s="69"/>
      <c r="M192" s="69"/>
      <c r="N192" s="69"/>
      <c r="O192" s="69"/>
      <c r="P192" s="69"/>
      <c r="Q192" s="69"/>
      <c r="R192" s="69"/>
    </row>
    <row r="193" spans="2:18" ht="15.75" hidden="1" customHeight="1">
      <c r="B193" s="98"/>
      <c r="C193" s="99"/>
      <c r="D193" s="100"/>
      <c r="E193" s="100"/>
      <c r="F193" s="100"/>
      <c r="G193" s="69"/>
      <c r="H193" s="69"/>
      <c r="I193" s="69"/>
      <c r="J193" s="69"/>
      <c r="K193" s="69"/>
      <c r="L193" s="69"/>
      <c r="M193" s="69"/>
      <c r="N193" s="69"/>
      <c r="O193" s="69"/>
      <c r="P193" s="69"/>
      <c r="Q193" s="69"/>
      <c r="R193" s="69"/>
    </row>
    <row r="194" spans="2:18" ht="15.75" hidden="1" customHeight="1">
      <c r="B194" s="102"/>
      <c r="C194" s="103"/>
      <c r="D194" s="104"/>
      <c r="E194" s="104"/>
      <c r="F194" s="104"/>
      <c r="G194" s="69"/>
      <c r="H194" s="69"/>
      <c r="I194" s="69"/>
      <c r="J194" s="69"/>
      <c r="K194" s="69"/>
      <c r="L194" s="69"/>
      <c r="M194" s="69"/>
      <c r="N194" s="69"/>
      <c r="O194" s="69"/>
      <c r="P194" s="69"/>
      <c r="Q194" s="69"/>
      <c r="R194" s="69"/>
    </row>
    <row r="195" spans="2:18" ht="15.75" hidden="1" customHeight="1">
      <c r="B195" s="98"/>
      <c r="C195" s="99"/>
      <c r="D195" s="100"/>
      <c r="E195" s="100"/>
      <c r="F195" s="100"/>
      <c r="G195" s="69"/>
      <c r="H195" s="69"/>
      <c r="I195" s="69"/>
      <c r="J195" s="69"/>
      <c r="K195" s="69"/>
      <c r="L195" s="69"/>
      <c r="M195" s="69"/>
      <c r="N195" s="69"/>
      <c r="O195" s="69"/>
      <c r="P195" s="69"/>
      <c r="Q195" s="69"/>
      <c r="R195" s="69"/>
    </row>
    <row r="196" spans="2:18" ht="15.75" hidden="1" customHeight="1">
      <c r="B196" s="102"/>
      <c r="C196" s="103"/>
      <c r="D196" s="104"/>
      <c r="E196" s="104"/>
      <c r="F196" s="104"/>
      <c r="G196" s="69"/>
      <c r="H196" s="69"/>
      <c r="I196" s="69"/>
      <c r="J196" s="69"/>
      <c r="K196" s="69"/>
      <c r="L196" s="69"/>
      <c r="M196" s="69"/>
      <c r="N196" s="69"/>
      <c r="O196" s="69"/>
      <c r="P196" s="69"/>
      <c r="Q196" s="69"/>
      <c r="R196" s="69"/>
    </row>
    <row r="197" spans="2:18" ht="15.75" hidden="1" customHeight="1">
      <c r="B197" s="98"/>
      <c r="C197" s="99"/>
      <c r="D197" s="100"/>
      <c r="E197" s="100"/>
      <c r="F197" s="100"/>
      <c r="G197" s="69"/>
      <c r="H197" s="69"/>
      <c r="I197" s="69"/>
      <c r="J197" s="69"/>
      <c r="K197" s="69"/>
      <c r="L197" s="69"/>
      <c r="M197" s="69"/>
      <c r="N197" s="69"/>
      <c r="O197" s="69"/>
      <c r="P197" s="69"/>
      <c r="Q197" s="69"/>
      <c r="R197" s="69"/>
    </row>
    <row r="198" spans="2:18" ht="15.75" hidden="1" customHeight="1">
      <c r="B198" s="102"/>
      <c r="C198" s="103"/>
      <c r="D198" s="104"/>
      <c r="E198" s="104"/>
      <c r="F198" s="104"/>
      <c r="G198" s="69"/>
      <c r="H198" s="69"/>
      <c r="I198" s="69"/>
      <c r="J198" s="69"/>
      <c r="K198" s="69"/>
      <c r="L198" s="69"/>
      <c r="M198" s="69"/>
      <c r="N198" s="69"/>
      <c r="O198" s="69"/>
      <c r="P198" s="69"/>
      <c r="Q198" s="69"/>
      <c r="R198" s="69"/>
    </row>
    <row r="199" spans="2:18" ht="15.75" hidden="1" customHeight="1">
      <c r="B199" s="98"/>
      <c r="C199" s="99"/>
      <c r="D199" s="100"/>
      <c r="E199" s="100"/>
      <c r="F199" s="100"/>
      <c r="G199" s="69"/>
      <c r="H199" s="69"/>
      <c r="I199" s="69"/>
      <c r="J199" s="69"/>
      <c r="K199" s="69"/>
      <c r="L199" s="69"/>
      <c r="M199" s="69"/>
      <c r="N199" s="69"/>
      <c r="O199" s="69"/>
      <c r="P199" s="69"/>
      <c r="Q199" s="69"/>
      <c r="R199" s="69"/>
    </row>
    <row r="200" spans="2:18" ht="15.75" hidden="1" customHeight="1">
      <c r="B200" s="102"/>
      <c r="C200" s="103"/>
      <c r="D200" s="104"/>
      <c r="E200" s="104"/>
      <c r="F200" s="104"/>
      <c r="G200" s="69"/>
      <c r="H200" s="69"/>
      <c r="I200" s="69"/>
      <c r="J200" s="69"/>
      <c r="K200" s="69"/>
      <c r="L200" s="69"/>
      <c r="M200" s="69"/>
      <c r="N200" s="69"/>
      <c r="O200" s="69"/>
      <c r="P200" s="69"/>
      <c r="Q200" s="69"/>
      <c r="R200" s="69"/>
    </row>
    <row r="201" spans="2:18" ht="15.75" hidden="1" customHeight="1">
      <c r="B201" s="98"/>
      <c r="C201" s="99"/>
      <c r="D201" s="100"/>
      <c r="E201" s="100"/>
      <c r="F201" s="100"/>
      <c r="G201" s="69"/>
      <c r="H201" s="69"/>
      <c r="I201" s="69"/>
      <c r="J201" s="69"/>
      <c r="K201" s="69"/>
      <c r="L201" s="69"/>
      <c r="M201" s="69"/>
      <c r="N201" s="69"/>
      <c r="O201" s="69"/>
      <c r="P201" s="69"/>
      <c r="Q201" s="69"/>
      <c r="R201" s="69"/>
    </row>
    <row r="202" spans="2:18" ht="15.75" hidden="1" customHeight="1">
      <c r="B202" s="102"/>
      <c r="C202" s="103"/>
      <c r="D202" s="104"/>
      <c r="E202" s="104"/>
      <c r="F202" s="104"/>
      <c r="G202" s="69"/>
      <c r="H202" s="69"/>
      <c r="I202" s="69"/>
      <c r="J202" s="69"/>
      <c r="K202" s="69"/>
      <c r="L202" s="69"/>
      <c r="M202" s="69"/>
      <c r="N202" s="69"/>
      <c r="O202" s="69"/>
      <c r="P202" s="69"/>
      <c r="Q202" s="69"/>
      <c r="R202" s="69"/>
    </row>
    <row r="203" spans="2:18" ht="15.75" hidden="1" customHeight="1">
      <c r="B203" s="98"/>
      <c r="C203" s="99"/>
      <c r="D203" s="100"/>
      <c r="E203" s="100"/>
      <c r="F203" s="100"/>
      <c r="G203" s="69"/>
      <c r="H203" s="69"/>
      <c r="I203" s="69"/>
      <c r="J203" s="69"/>
      <c r="K203" s="69"/>
      <c r="L203" s="69"/>
      <c r="M203" s="69"/>
      <c r="N203" s="69"/>
      <c r="O203" s="69"/>
      <c r="P203" s="69"/>
      <c r="Q203" s="69"/>
      <c r="R203" s="69"/>
    </row>
    <row r="204" spans="2:18" ht="15.75" hidden="1" customHeight="1">
      <c r="B204" s="102"/>
      <c r="C204" s="103"/>
      <c r="D204" s="104"/>
      <c r="E204" s="104"/>
      <c r="F204" s="104"/>
      <c r="G204" s="69"/>
      <c r="H204" s="69"/>
      <c r="I204" s="69"/>
      <c r="J204" s="69"/>
      <c r="K204" s="69"/>
      <c r="L204" s="69"/>
      <c r="M204" s="69"/>
      <c r="N204" s="69"/>
      <c r="O204" s="69"/>
      <c r="P204" s="69"/>
      <c r="Q204" s="69"/>
      <c r="R204" s="69"/>
    </row>
    <row r="205" spans="2:18" ht="15.75" hidden="1" customHeight="1">
      <c r="B205" s="98"/>
      <c r="C205" s="99"/>
      <c r="D205" s="100"/>
      <c r="E205" s="100"/>
      <c r="F205" s="100"/>
      <c r="G205" s="69"/>
      <c r="H205" s="69"/>
      <c r="I205" s="69"/>
      <c r="J205" s="69"/>
      <c r="K205" s="69"/>
      <c r="L205" s="69"/>
      <c r="M205" s="69"/>
      <c r="N205" s="69"/>
      <c r="O205" s="69"/>
      <c r="P205" s="69"/>
      <c r="Q205" s="69"/>
      <c r="R205" s="69"/>
    </row>
    <row r="206" spans="2:18" ht="15.75" hidden="1" customHeight="1">
      <c r="B206" s="102"/>
      <c r="C206" s="103"/>
      <c r="D206" s="104"/>
      <c r="E206" s="104"/>
      <c r="F206" s="104"/>
      <c r="G206" s="69"/>
      <c r="H206" s="69"/>
      <c r="I206" s="69"/>
      <c r="J206" s="69"/>
      <c r="K206" s="69"/>
      <c r="L206" s="69"/>
      <c r="M206" s="69"/>
      <c r="N206" s="69"/>
      <c r="O206" s="69"/>
      <c r="P206" s="69"/>
      <c r="Q206" s="69"/>
      <c r="R206" s="69"/>
    </row>
    <row r="207" spans="2:18" ht="15.75" hidden="1" customHeight="1">
      <c r="B207" s="98"/>
      <c r="C207" s="99"/>
      <c r="D207" s="100"/>
      <c r="E207" s="100"/>
      <c r="F207" s="100"/>
      <c r="G207" s="69"/>
      <c r="H207" s="69"/>
      <c r="I207" s="69"/>
      <c r="J207" s="69"/>
      <c r="K207" s="69"/>
      <c r="L207" s="69"/>
      <c r="M207" s="69"/>
      <c r="N207" s="69"/>
      <c r="O207" s="69"/>
      <c r="P207" s="69"/>
      <c r="Q207" s="69"/>
      <c r="R207" s="69"/>
    </row>
    <row r="208" spans="2:18" ht="15.75" hidden="1" customHeight="1">
      <c r="B208" s="102"/>
      <c r="C208" s="103"/>
      <c r="D208" s="104"/>
      <c r="E208" s="104"/>
      <c r="F208" s="104"/>
      <c r="G208" s="69"/>
      <c r="H208" s="69"/>
      <c r="I208" s="69"/>
      <c r="J208" s="69"/>
      <c r="K208" s="69"/>
      <c r="L208" s="69"/>
      <c r="M208" s="69"/>
      <c r="N208" s="69"/>
      <c r="O208" s="69"/>
      <c r="P208" s="69"/>
      <c r="Q208" s="69"/>
      <c r="R208" s="69"/>
    </row>
    <row r="209" spans="2:18" ht="15.75" hidden="1" customHeight="1">
      <c r="B209" s="98"/>
      <c r="C209" s="99"/>
      <c r="D209" s="100"/>
      <c r="E209" s="100"/>
      <c r="F209" s="100"/>
      <c r="G209" s="69"/>
      <c r="H209" s="69"/>
      <c r="I209" s="69"/>
      <c r="J209" s="69"/>
      <c r="K209" s="69"/>
      <c r="L209" s="69"/>
      <c r="M209" s="69"/>
      <c r="N209" s="69"/>
      <c r="O209" s="69"/>
      <c r="P209" s="69"/>
      <c r="Q209" s="69"/>
      <c r="R209" s="69"/>
    </row>
    <row r="210" spans="2:18" ht="15.75" hidden="1" customHeight="1">
      <c r="B210" s="102"/>
      <c r="C210" s="103"/>
      <c r="D210" s="104"/>
      <c r="E210" s="104"/>
      <c r="F210" s="104"/>
      <c r="G210" s="69"/>
      <c r="H210" s="69"/>
      <c r="I210" s="69"/>
      <c r="J210" s="69"/>
      <c r="K210" s="69"/>
      <c r="L210" s="69"/>
      <c r="M210" s="69"/>
      <c r="N210" s="69"/>
      <c r="O210" s="69"/>
      <c r="P210" s="69"/>
      <c r="Q210" s="69"/>
      <c r="R210" s="69"/>
    </row>
    <row r="211" spans="2:18" ht="15.75" hidden="1" customHeight="1">
      <c r="B211" s="98"/>
      <c r="C211" s="99"/>
      <c r="D211" s="100"/>
      <c r="E211" s="100"/>
      <c r="F211" s="100"/>
      <c r="G211" s="69"/>
      <c r="H211" s="69"/>
      <c r="I211" s="69"/>
      <c r="J211" s="69"/>
      <c r="K211" s="69"/>
      <c r="L211" s="69"/>
      <c r="M211" s="69"/>
      <c r="N211" s="69"/>
      <c r="O211" s="69"/>
      <c r="P211" s="69"/>
      <c r="Q211" s="69"/>
      <c r="R211" s="69"/>
    </row>
    <row r="212" spans="2:18" ht="15.75" hidden="1" customHeight="1">
      <c r="B212" s="102"/>
      <c r="C212" s="103"/>
      <c r="D212" s="104"/>
      <c r="E212" s="104"/>
      <c r="F212" s="104"/>
      <c r="G212" s="69"/>
      <c r="H212" s="69"/>
      <c r="I212" s="69"/>
      <c r="J212" s="69"/>
      <c r="K212" s="69"/>
      <c r="L212" s="69"/>
      <c r="M212" s="69"/>
      <c r="N212" s="69"/>
      <c r="O212" s="69"/>
      <c r="P212" s="69"/>
      <c r="Q212" s="69"/>
      <c r="R212" s="69"/>
    </row>
    <row r="213" spans="2:18" ht="15.75" hidden="1" customHeight="1">
      <c r="B213" s="98"/>
      <c r="C213" s="99"/>
      <c r="D213" s="100"/>
      <c r="E213" s="100"/>
      <c r="F213" s="100"/>
      <c r="G213" s="69"/>
      <c r="H213" s="69"/>
      <c r="I213" s="69"/>
      <c r="J213" s="69"/>
      <c r="K213" s="69"/>
      <c r="L213" s="69"/>
      <c r="M213" s="69"/>
      <c r="N213" s="69"/>
      <c r="O213" s="69"/>
      <c r="P213" s="69"/>
      <c r="Q213" s="69"/>
      <c r="R213" s="69"/>
    </row>
    <row r="214" spans="2:18" ht="15.75" hidden="1" customHeight="1">
      <c r="B214" s="102"/>
      <c r="C214" s="103"/>
      <c r="D214" s="104"/>
      <c r="E214" s="104"/>
      <c r="F214" s="104"/>
      <c r="G214" s="69"/>
      <c r="H214" s="69"/>
      <c r="I214" s="69"/>
      <c r="J214" s="69"/>
      <c r="K214" s="69"/>
      <c r="L214" s="69"/>
      <c r="M214" s="69"/>
      <c r="N214" s="69"/>
      <c r="O214" s="69"/>
      <c r="P214" s="69"/>
      <c r="Q214" s="69"/>
      <c r="R214" s="69"/>
    </row>
    <row r="215" spans="2:18" ht="15.75" hidden="1" customHeight="1">
      <c r="B215" s="98"/>
      <c r="C215" s="99"/>
      <c r="D215" s="100"/>
      <c r="E215" s="100"/>
      <c r="F215" s="100"/>
      <c r="G215" s="69"/>
      <c r="H215" s="69"/>
      <c r="I215" s="69"/>
      <c r="J215" s="69"/>
      <c r="K215" s="69"/>
      <c r="L215" s="69"/>
      <c r="M215" s="69"/>
      <c r="N215" s="69"/>
      <c r="O215" s="69"/>
      <c r="P215" s="69"/>
      <c r="Q215" s="69"/>
      <c r="R215" s="69"/>
    </row>
    <row r="216" spans="2:18" ht="15.75" hidden="1" customHeight="1">
      <c r="B216" s="102"/>
      <c r="C216" s="103"/>
      <c r="D216" s="104"/>
      <c r="E216" s="104"/>
      <c r="F216" s="104"/>
      <c r="G216" s="69"/>
      <c r="H216" s="69"/>
      <c r="I216" s="69"/>
      <c r="J216" s="69"/>
      <c r="K216" s="69"/>
      <c r="L216" s="69"/>
      <c r="M216" s="69"/>
      <c r="N216" s="69"/>
      <c r="O216" s="69"/>
      <c r="P216" s="69"/>
      <c r="Q216" s="69"/>
      <c r="R216" s="69"/>
    </row>
    <row r="217" spans="2:18" ht="15.75" hidden="1" customHeight="1">
      <c r="B217" s="98"/>
      <c r="C217" s="99"/>
      <c r="D217" s="100"/>
      <c r="E217" s="100"/>
      <c r="F217" s="100"/>
      <c r="G217" s="69"/>
      <c r="H217" s="69"/>
      <c r="I217" s="69"/>
      <c r="J217" s="69"/>
      <c r="K217" s="69"/>
      <c r="L217" s="69"/>
      <c r="M217" s="69"/>
      <c r="N217" s="69"/>
      <c r="O217" s="69"/>
      <c r="P217" s="69"/>
      <c r="Q217" s="69"/>
      <c r="R217" s="69"/>
    </row>
    <row r="218" spans="2:18" ht="15.75" hidden="1" customHeight="1">
      <c r="B218" s="102"/>
      <c r="C218" s="103"/>
      <c r="D218" s="104"/>
      <c r="E218" s="104"/>
      <c r="F218" s="104"/>
      <c r="G218" s="69"/>
      <c r="H218" s="69"/>
      <c r="I218" s="69"/>
      <c r="J218" s="69"/>
      <c r="K218" s="69"/>
      <c r="L218" s="69"/>
      <c r="M218" s="69"/>
      <c r="N218" s="69"/>
      <c r="O218" s="69"/>
      <c r="P218" s="69"/>
      <c r="Q218" s="69"/>
      <c r="R218" s="69"/>
    </row>
    <row r="219" spans="2:18" ht="15.75" hidden="1" customHeight="1">
      <c r="B219" s="98"/>
      <c r="C219" s="99"/>
      <c r="D219" s="100"/>
      <c r="E219" s="100"/>
      <c r="F219" s="100"/>
      <c r="G219" s="69"/>
      <c r="H219" s="69"/>
      <c r="I219" s="69"/>
      <c r="J219" s="69"/>
      <c r="K219" s="69"/>
      <c r="L219" s="69"/>
      <c r="M219" s="69"/>
      <c r="N219" s="69"/>
      <c r="O219" s="69"/>
      <c r="P219" s="69"/>
      <c r="Q219" s="69"/>
      <c r="R219" s="69"/>
    </row>
    <row r="220" spans="2:18" ht="15.75" hidden="1" customHeight="1">
      <c r="B220" s="102"/>
      <c r="C220" s="103"/>
      <c r="D220" s="104"/>
      <c r="E220" s="104"/>
      <c r="F220" s="104"/>
      <c r="G220" s="69"/>
      <c r="H220" s="69"/>
      <c r="I220" s="69"/>
      <c r="J220" s="69"/>
      <c r="K220" s="69"/>
      <c r="L220" s="69"/>
      <c r="M220" s="69"/>
      <c r="N220" s="69"/>
      <c r="O220" s="69"/>
      <c r="P220" s="69"/>
      <c r="Q220" s="69"/>
      <c r="R220" s="69"/>
    </row>
    <row r="221" spans="2:18" ht="15.75" hidden="1" customHeight="1">
      <c r="B221" s="98"/>
      <c r="C221" s="99"/>
      <c r="D221" s="100"/>
      <c r="E221" s="100"/>
      <c r="F221" s="100"/>
      <c r="G221" s="69"/>
      <c r="H221" s="69"/>
      <c r="I221" s="69"/>
      <c r="J221" s="69"/>
      <c r="K221" s="69"/>
      <c r="L221" s="69"/>
      <c r="M221" s="69"/>
      <c r="N221" s="69"/>
      <c r="O221" s="69"/>
      <c r="P221" s="69"/>
      <c r="Q221" s="69"/>
      <c r="R221" s="69"/>
    </row>
    <row r="222" spans="2:18" ht="15.75" hidden="1" customHeight="1">
      <c r="B222" s="102"/>
      <c r="C222" s="103"/>
      <c r="D222" s="104"/>
      <c r="E222" s="104"/>
      <c r="F222" s="104"/>
      <c r="G222" s="69"/>
      <c r="H222" s="69"/>
      <c r="I222" s="69"/>
      <c r="J222" s="69"/>
      <c r="K222" s="69"/>
      <c r="L222" s="69"/>
      <c r="M222" s="69"/>
      <c r="N222" s="69"/>
      <c r="O222" s="69"/>
      <c r="P222" s="69"/>
      <c r="Q222" s="69"/>
      <c r="R222" s="69"/>
    </row>
    <row r="223" spans="2:18" ht="15.75" hidden="1" customHeight="1">
      <c r="B223" s="98"/>
      <c r="C223" s="99"/>
      <c r="D223" s="100"/>
      <c r="E223" s="100"/>
      <c r="F223" s="100"/>
      <c r="G223" s="69"/>
      <c r="H223" s="69"/>
      <c r="I223" s="69"/>
      <c r="J223" s="69"/>
      <c r="K223" s="69"/>
      <c r="L223" s="69"/>
      <c r="M223" s="69"/>
      <c r="N223" s="69"/>
      <c r="O223" s="69"/>
      <c r="P223" s="69"/>
      <c r="Q223" s="69"/>
      <c r="R223" s="69"/>
    </row>
    <row r="224" spans="2:18" ht="15.75" hidden="1" customHeight="1">
      <c r="B224" s="102"/>
      <c r="C224" s="103"/>
      <c r="D224" s="104"/>
      <c r="E224" s="104"/>
      <c r="F224" s="104"/>
      <c r="G224" s="69"/>
      <c r="H224" s="69"/>
      <c r="I224" s="69"/>
      <c r="J224" s="69"/>
      <c r="K224" s="69"/>
      <c r="L224" s="69"/>
      <c r="M224" s="69"/>
      <c r="N224" s="69"/>
      <c r="O224" s="69"/>
      <c r="P224" s="69"/>
      <c r="Q224" s="69"/>
      <c r="R224" s="69"/>
    </row>
    <row r="225" spans="2:18" ht="15.75" hidden="1" customHeight="1">
      <c r="B225" s="98"/>
      <c r="C225" s="99"/>
      <c r="D225" s="100"/>
      <c r="E225" s="100"/>
      <c r="F225" s="100"/>
      <c r="G225" s="69"/>
      <c r="H225" s="69"/>
      <c r="I225" s="69"/>
      <c r="J225" s="69"/>
      <c r="K225" s="69"/>
      <c r="L225" s="69"/>
      <c r="M225" s="69"/>
      <c r="N225" s="69"/>
      <c r="O225" s="69"/>
      <c r="P225" s="69"/>
      <c r="Q225" s="69"/>
      <c r="R225" s="69"/>
    </row>
    <row r="226" spans="2:18" ht="15.75" hidden="1" customHeight="1">
      <c r="B226" s="102"/>
      <c r="C226" s="103"/>
      <c r="D226" s="104"/>
      <c r="E226" s="104"/>
      <c r="F226" s="104"/>
      <c r="G226" s="69"/>
      <c r="H226" s="69"/>
      <c r="I226" s="69"/>
      <c r="J226" s="69"/>
      <c r="K226" s="69"/>
      <c r="L226" s="69"/>
      <c r="M226" s="69"/>
      <c r="N226" s="69"/>
      <c r="O226" s="69"/>
      <c r="P226" s="69"/>
      <c r="Q226" s="69"/>
      <c r="R226" s="69"/>
    </row>
    <row r="227" spans="2:18" ht="15.75" hidden="1" customHeight="1">
      <c r="B227" s="98"/>
      <c r="C227" s="99"/>
      <c r="D227" s="100"/>
      <c r="E227" s="100"/>
      <c r="F227" s="100"/>
      <c r="G227" s="69"/>
      <c r="H227" s="69"/>
      <c r="I227" s="69"/>
      <c r="J227" s="69"/>
      <c r="K227" s="69"/>
      <c r="L227" s="69"/>
      <c r="M227" s="69"/>
      <c r="N227" s="69"/>
      <c r="O227" s="69"/>
      <c r="P227" s="69"/>
      <c r="Q227" s="69"/>
      <c r="R227" s="69"/>
    </row>
    <row r="228" spans="2:18" ht="15.75" hidden="1" customHeight="1">
      <c r="B228" s="102"/>
      <c r="C228" s="103"/>
      <c r="D228" s="104"/>
      <c r="E228" s="104"/>
      <c r="F228" s="104"/>
      <c r="G228" s="69"/>
      <c r="H228" s="69"/>
      <c r="I228" s="69"/>
      <c r="J228" s="69"/>
      <c r="K228" s="69"/>
      <c r="L228" s="69"/>
      <c r="M228" s="69"/>
      <c r="N228" s="69"/>
      <c r="O228" s="69"/>
      <c r="P228" s="69"/>
      <c r="Q228" s="69"/>
      <c r="R228" s="69"/>
    </row>
    <row r="229" spans="2:18" ht="15.75" hidden="1" customHeight="1">
      <c r="B229" s="98"/>
      <c r="C229" s="99"/>
      <c r="D229" s="100"/>
      <c r="E229" s="100"/>
      <c r="F229" s="100"/>
      <c r="G229" s="69"/>
      <c r="H229" s="69"/>
      <c r="I229" s="69"/>
      <c r="J229" s="69"/>
      <c r="K229" s="69"/>
      <c r="L229" s="69"/>
      <c r="M229" s="69"/>
      <c r="N229" s="69"/>
      <c r="O229" s="69"/>
      <c r="P229" s="69"/>
      <c r="Q229" s="69"/>
      <c r="R229" s="69"/>
    </row>
    <row r="230" spans="2:18" ht="15.75" hidden="1" customHeight="1">
      <c r="B230" s="102"/>
      <c r="C230" s="103"/>
      <c r="D230" s="104"/>
      <c r="E230" s="104"/>
      <c r="F230" s="104"/>
      <c r="G230" s="69"/>
      <c r="H230" s="69"/>
      <c r="I230" s="69"/>
      <c r="J230" s="69"/>
      <c r="K230" s="69"/>
      <c r="L230" s="69"/>
      <c r="M230" s="69"/>
      <c r="N230" s="69"/>
      <c r="O230" s="69"/>
      <c r="P230" s="69"/>
      <c r="Q230" s="69"/>
      <c r="R230" s="69"/>
    </row>
    <row r="231" spans="2:18" ht="15.75" hidden="1" customHeight="1">
      <c r="B231" s="98"/>
      <c r="C231" s="99"/>
      <c r="D231" s="100"/>
      <c r="E231" s="100"/>
      <c r="F231" s="100"/>
      <c r="G231" s="69"/>
      <c r="H231" s="69"/>
      <c r="I231" s="69"/>
      <c r="J231" s="69"/>
      <c r="K231" s="69"/>
      <c r="L231" s="69"/>
      <c r="M231" s="69"/>
      <c r="N231" s="69"/>
      <c r="O231" s="69"/>
      <c r="P231" s="69"/>
      <c r="Q231" s="69"/>
      <c r="R231" s="69"/>
    </row>
    <row r="232" spans="2:18" ht="15.75" hidden="1" customHeight="1">
      <c r="B232" s="102"/>
      <c r="C232" s="103"/>
      <c r="D232" s="104"/>
      <c r="E232" s="104"/>
      <c r="F232" s="104"/>
      <c r="G232" s="69"/>
      <c r="H232" s="69"/>
      <c r="I232" s="69"/>
      <c r="J232" s="69"/>
      <c r="K232" s="69"/>
      <c r="L232" s="69"/>
      <c r="M232" s="69"/>
      <c r="N232" s="69"/>
      <c r="O232" s="69"/>
      <c r="P232" s="69"/>
      <c r="Q232" s="69"/>
      <c r="R232" s="69"/>
    </row>
    <row r="233" spans="2:18" ht="15.75" hidden="1" customHeight="1">
      <c r="B233" s="98"/>
      <c r="C233" s="99"/>
      <c r="D233" s="100"/>
      <c r="E233" s="100"/>
      <c r="F233" s="100"/>
      <c r="G233" s="69"/>
      <c r="H233" s="69"/>
      <c r="I233" s="69"/>
      <c r="J233" s="69"/>
      <c r="K233" s="69"/>
      <c r="L233" s="69"/>
      <c r="M233" s="69"/>
      <c r="N233" s="69"/>
      <c r="O233" s="69"/>
      <c r="P233" s="69"/>
      <c r="Q233" s="69"/>
      <c r="R233" s="69"/>
    </row>
    <row r="234" spans="2:18" ht="15.75" hidden="1" customHeight="1">
      <c r="B234" s="102"/>
      <c r="C234" s="103"/>
      <c r="D234" s="104"/>
      <c r="E234" s="104"/>
      <c r="F234" s="104"/>
      <c r="G234" s="69"/>
      <c r="H234" s="69"/>
      <c r="I234" s="69"/>
      <c r="J234" s="69"/>
      <c r="K234" s="69"/>
      <c r="L234" s="69"/>
      <c r="M234" s="69"/>
      <c r="N234" s="69"/>
      <c r="O234" s="69"/>
      <c r="P234" s="69"/>
      <c r="Q234" s="69"/>
      <c r="R234" s="69"/>
    </row>
    <row r="235" spans="2:18" ht="15.75" hidden="1" customHeight="1">
      <c r="B235" s="98"/>
      <c r="C235" s="99"/>
      <c r="D235" s="100"/>
      <c r="E235" s="100"/>
      <c r="F235" s="100"/>
      <c r="G235" s="69"/>
      <c r="H235" s="69"/>
      <c r="I235" s="69"/>
      <c r="J235" s="69"/>
      <c r="K235" s="69"/>
      <c r="L235" s="69"/>
      <c r="M235" s="69"/>
      <c r="N235" s="69"/>
      <c r="O235" s="69"/>
      <c r="P235" s="69"/>
      <c r="Q235" s="69"/>
      <c r="R235" s="69"/>
    </row>
    <row r="236" spans="2:18" ht="15.75" hidden="1" customHeight="1">
      <c r="B236" s="102"/>
      <c r="C236" s="103"/>
      <c r="D236" s="104"/>
      <c r="E236" s="104"/>
      <c r="F236" s="104"/>
      <c r="G236" s="69"/>
      <c r="H236" s="69"/>
      <c r="I236" s="69"/>
      <c r="J236" s="69"/>
      <c r="K236" s="69"/>
      <c r="L236" s="69"/>
      <c r="M236" s="69"/>
      <c r="N236" s="69"/>
      <c r="O236" s="69"/>
      <c r="P236" s="69"/>
      <c r="Q236" s="69"/>
      <c r="R236" s="69"/>
    </row>
    <row r="237" spans="2:18" ht="15.75" hidden="1" customHeight="1">
      <c r="B237" s="98"/>
      <c r="C237" s="99"/>
      <c r="D237" s="100"/>
      <c r="E237" s="100"/>
      <c r="F237" s="100"/>
      <c r="G237" s="69"/>
      <c r="H237" s="69"/>
      <c r="I237" s="69"/>
      <c r="J237" s="69"/>
      <c r="K237" s="69"/>
      <c r="L237" s="69"/>
      <c r="M237" s="69"/>
      <c r="N237" s="69"/>
      <c r="O237" s="69"/>
      <c r="P237" s="69"/>
      <c r="Q237" s="69"/>
      <c r="R237" s="69"/>
    </row>
    <row r="238" spans="2:18" ht="15.75" hidden="1" customHeight="1">
      <c r="B238" s="102"/>
      <c r="C238" s="103"/>
      <c r="D238" s="104"/>
      <c r="E238" s="104"/>
      <c r="F238" s="104"/>
      <c r="G238" s="69"/>
      <c r="H238" s="69"/>
      <c r="I238" s="69"/>
      <c r="J238" s="69"/>
      <c r="K238" s="69"/>
      <c r="L238" s="69"/>
      <c r="M238" s="69"/>
      <c r="N238" s="69"/>
      <c r="O238" s="69"/>
      <c r="P238" s="69"/>
      <c r="Q238" s="69"/>
      <c r="R238" s="69"/>
    </row>
    <row r="239" spans="2:18" ht="15.75" hidden="1" customHeight="1">
      <c r="B239" s="98"/>
      <c r="C239" s="99"/>
      <c r="D239" s="100"/>
      <c r="E239" s="100"/>
      <c r="F239" s="100"/>
      <c r="G239" s="69"/>
      <c r="H239" s="69"/>
      <c r="I239" s="69"/>
      <c r="J239" s="69"/>
      <c r="K239" s="69"/>
      <c r="L239" s="69"/>
      <c r="M239" s="69"/>
      <c r="N239" s="69"/>
      <c r="O239" s="69"/>
      <c r="P239" s="69"/>
      <c r="Q239" s="69"/>
      <c r="R239" s="69"/>
    </row>
    <row r="240" spans="2:18" ht="15.75" hidden="1" customHeight="1">
      <c r="B240" s="102"/>
      <c r="C240" s="103"/>
      <c r="D240" s="104"/>
      <c r="E240" s="104"/>
      <c r="F240" s="104"/>
      <c r="G240" s="69"/>
      <c r="H240" s="69"/>
      <c r="I240" s="69"/>
      <c r="J240" s="69"/>
      <c r="K240" s="69"/>
      <c r="L240" s="69"/>
      <c r="M240" s="69"/>
      <c r="N240" s="69"/>
      <c r="O240" s="69"/>
      <c r="P240" s="69"/>
      <c r="Q240" s="69"/>
      <c r="R240" s="69"/>
    </row>
    <row r="241" spans="2:18" ht="15.75" hidden="1" customHeight="1">
      <c r="B241" s="98"/>
      <c r="C241" s="99"/>
      <c r="D241" s="100"/>
      <c r="E241" s="100"/>
      <c r="F241" s="100"/>
      <c r="G241" s="69"/>
      <c r="H241" s="69"/>
      <c r="I241" s="69"/>
      <c r="J241" s="69"/>
      <c r="K241" s="69"/>
      <c r="L241" s="69"/>
      <c r="M241" s="69"/>
      <c r="N241" s="69"/>
      <c r="O241" s="69"/>
      <c r="P241" s="69"/>
      <c r="Q241" s="69"/>
      <c r="R241" s="69"/>
    </row>
    <row r="242" spans="2:18" ht="15.75" hidden="1" customHeight="1">
      <c r="B242" s="102"/>
      <c r="C242" s="103"/>
      <c r="D242" s="104"/>
      <c r="E242" s="104"/>
      <c r="F242" s="104"/>
      <c r="G242" s="69"/>
      <c r="H242" s="69"/>
      <c r="I242" s="69"/>
      <c r="J242" s="69"/>
      <c r="K242" s="69"/>
      <c r="L242" s="69"/>
      <c r="M242" s="69"/>
      <c r="N242" s="69"/>
      <c r="O242" s="69"/>
      <c r="P242" s="69"/>
      <c r="Q242" s="69"/>
      <c r="R242" s="69"/>
    </row>
    <row r="243" spans="2:18" ht="15.75" hidden="1" customHeight="1">
      <c r="B243" s="98"/>
      <c r="C243" s="99"/>
      <c r="D243" s="100"/>
      <c r="E243" s="100"/>
      <c r="F243" s="100"/>
      <c r="G243" s="69"/>
      <c r="H243" s="69"/>
      <c r="I243" s="69"/>
      <c r="J243" s="69"/>
      <c r="K243" s="69"/>
      <c r="L243" s="69"/>
      <c r="M243" s="69"/>
      <c r="N243" s="69"/>
      <c r="O243" s="69"/>
      <c r="P243" s="69"/>
      <c r="Q243" s="69"/>
      <c r="R243" s="69"/>
    </row>
    <row r="244" spans="2:18" ht="15.75" hidden="1" customHeight="1">
      <c r="B244" s="102"/>
      <c r="C244" s="103"/>
      <c r="D244" s="104"/>
      <c r="E244" s="104"/>
      <c r="F244" s="104"/>
      <c r="G244" s="69"/>
      <c r="H244" s="69"/>
      <c r="I244" s="69"/>
      <c r="J244" s="69"/>
      <c r="K244" s="69"/>
      <c r="L244" s="69"/>
      <c r="M244" s="69"/>
      <c r="N244" s="69"/>
      <c r="O244" s="69"/>
      <c r="P244" s="69"/>
      <c r="Q244" s="69"/>
      <c r="R244" s="69"/>
    </row>
    <row r="245" spans="2:18" ht="15.75" hidden="1" customHeight="1">
      <c r="B245" s="98"/>
      <c r="C245" s="99"/>
      <c r="D245" s="100"/>
      <c r="E245" s="100"/>
      <c r="F245" s="100"/>
      <c r="G245" s="69"/>
      <c r="H245" s="69"/>
      <c r="I245" s="69"/>
      <c r="J245" s="69"/>
      <c r="K245" s="69"/>
      <c r="L245" s="69"/>
      <c r="M245" s="69"/>
      <c r="N245" s="69"/>
      <c r="O245" s="69"/>
      <c r="P245" s="69"/>
      <c r="Q245" s="69"/>
      <c r="R245" s="69"/>
    </row>
    <row r="246" spans="2:18" ht="15.75" hidden="1" customHeight="1">
      <c r="B246" s="102"/>
      <c r="C246" s="103"/>
      <c r="D246" s="104"/>
      <c r="E246" s="104"/>
      <c r="F246" s="104"/>
      <c r="G246" s="69"/>
      <c r="H246" s="69"/>
      <c r="I246" s="69"/>
      <c r="J246" s="69"/>
      <c r="K246" s="69"/>
      <c r="L246" s="69"/>
      <c r="M246" s="69"/>
      <c r="N246" s="69"/>
      <c r="O246" s="69"/>
      <c r="P246" s="69"/>
      <c r="Q246" s="69"/>
      <c r="R246" s="69"/>
    </row>
    <row r="247" spans="2:18" ht="15.75" hidden="1" customHeight="1">
      <c r="B247" s="98"/>
      <c r="C247" s="99"/>
      <c r="D247" s="100"/>
      <c r="E247" s="100"/>
      <c r="F247" s="100"/>
      <c r="G247" s="69"/>
      <c r="H247" s="69"/>
      <c r="I247" s="69"/>
      <c r="J247" s="69"/>
      <c r="K247" s="69"/>
      <c r="L247" s="69"/>
      <c r="M247" s="69"/>
      <c r="N247" s="69"/>
      <c r="O247" s="69"/>
      <c r="P247" s="69"/>
      <c r="Q247" s="69"/>
      <c r="R247" s="69"/>
    </row>
    <row r="248" spans="2:18" ht="15.75" hidden="1" customHeight="1">
      <c r="B248" s="102"/>
      <c r="C248" s="103"/>
      <c r="D248" s="104"/>
      <c r="E248" s="104"/>
      <c r="F248" s="104"/>
      <c r="G248" s="69"/>
      <c r="H248" s="69"/>
      <c r="I248" s="69"/>
      <c r="J248" s="69"/>
      <c r="K248" s="69"/>
      <c r="L248" s="69"/>
      <c r="M248" s="69"/>
      <c r="N248" s="69"/>
      <c r="O248" s="69"/>
      <c r="P248" s="69"/>
      <c r="Q248" s="69"/>
      <c r="R248" s="69"/>
    </row>
    <row r="249" spans="2:18" ht="15.75" hidden="1" customHeight="1">
      <c r="B249" s="98"/>
      <c r="C249" s="99"/>
      <c r="D249" s="100"/>
      <c r="E249" s="100"/>
      <c r="F249" s="100"/>
      <c r="G249" s="69"/>
      <c r="H249" s="69"/>
      <c r="I249" s="69"/>
      <c r="J249" s="69"/>
      <c r="K249" s="69"/>
      <c r="L249" s="69"/>
      <c r="M249" s="69"/>
      <c r="N249" s="69"/>
      <c r="O249" s="69"/>
      <c r="P249" s="69"/>
      <c r="Q249" s="69"/>
      <c r="R249" s="69"/>
    </row>
    <row r="250" spans="2:18" ht="15.75" hidden="1" customHeight="1">
      <c r="B250" s="102"/>
      <c r="C250" s="103"/>
      <c r="D250" s="104"/>
      <c r="E250" s="104"/>
      <c r="F250" s="104"/>
      <c r="G250" s="69"/>
      <c r="H250" s="69"/>
      <c r="I250" s="69"/>
      <c r="J250" s="69"/>
      <c r="K250" s="69"/>
      <c r="L250" s="69"/>
      <c r="M250" s="69"/>
      <c r="N250" s="69"/>
      <c r="O250" s="69"/>
      <c r="P250" s="69"/>
      <c r="Q250" s="69"/>
      <c r="R250" s="69"/>
    </row>
    <row r="251" spans="2:18" ht="15.75" hidden="1" customHeight="1">
      <c r="B251" s="98"/>
      <c r="C251" s="99"/>
      <c r="D251" s="100"/>
      <c r="E251" s="100"/>
      <c r="F251" s="100"/>
      <c r="G251" s="69"/>
      <c r="H251" s="69"/>
      <c r="I251" s="69"/>
      <c r="J251" s="69"/>
      <c r="K251" s="69"/>
      <c r="L251" s="69"/>
      <c r="M251" s="69"/>
      <c r="N251" s="69"/>
      <c r="O251" s="69"/>
      <c r="P251" s="69"/>
      <c r="Q251" s="69"/>
      <c r="R251" s="69"/>
    </row>
    <row r="252" spans="2:18" ht="15.75" hidden="1" customHeight="1">
      <c r="B252" s="102"/>
      <c r="C252" s="103"/>
      <c r="D252" s="104"/>
      <c r="E252" s="104"/>
      <c r="F252" s="104"/>
      <c r="G252" s="69"/>
      <c r="H252" s="69"/>
      <c r="I252" s="69"/>
      <c r="J252" s="69"/>
      <c r="K252" s="69"/>
      <c r="L252" s="69"/>
      <c r="M252" s="69"/>
      <c r="N252" s="69"/>
      <c r="O252" s="69"/>
      <c r="P252" s="69"/>
      <c r="Q252" s="69"/>
      <c r="R252" s="69"/>
    </row>
    <row r="253" spans="2:18" ht="15.75" hidden="1" customHeight="1">
      <c r="B253" s="98"/>
      <c r="C253" s="99"/>
      <c r="D253" s="100"/>
      <c r="E253" s="100"/>
      <c r="F253" s="100"/>
      <c r="G253" s="69"/>
      <c r="H253" s="69"/>
      <c r="I253" s="69"/>
      <c r="J253" s="69"/>
      <c r="K253" s="69"/>
      <c r="L253" s="69"/>
      <c r="M253" s="69"/>
      <c r="N253" s="69"/>
      <c r="O253" s="69"/>
      <c r="P253" s="69"/>
      <c r="Q253" s="69"/>
      <c r="R253" s="69"/>
    </row>
    <row r="254" spans="2:18" ht="15.75" hidden="1" customHeight="1">
      <c r="B254" s="102"/>
      <c r="C254" s="103"/>
      <c r="D254" s="104"/>
      <c r="E254" s="104"/>
      <c r="F254" s="104"/>
      <c r="G254" s="69"/>
      <c r="H254" s="69"/>
      <c r="I254" s="69"/>
      <c r="J254" s="69"/>
      <c r="K254" s="69"/>
      <c r="L254" s="69"/>
      <c r="M254" s="69"/>
      <c r="N254" s="69"/>
      <c r="O254" s="69"/>
      <c r="P254" s="69"/>
      <c r="Q254" s="69"/>
      <c r="R254" s="69"/>
    </row>
    <row r="255" spans="2:18" ht="15.75" hidden="1" customHeight="1">
      <c r="B255" s="98"/>
      <c r="C255" s="99"/>
      <c r="D255" s="100"/>
      <c r="E255" s="100"/>
      <c r="F255" s="100"/>
      <c r="G255" s="69"/>
      <c r="H255" s="69"/>
      <c r="I255" s="69"/>
      <c r="J255" s="69"/>
      <c r="K255" s="69"/>
      <c r="L255" s="69"/>
      <c r="M255" s="69"/>
      <c r="N255" s="69"/>
      <c r="O255" s="69"/>
      <c r="P255" s="69"/>
      <c r="Q255" s="69"/>
      <c r="R255" s="69"/>
    </row>
    <row r="256" spans="2:18" ht="15.75" hidden="1" customHeight="1">
      <c r="B256" s="102"/>
      <c r="C256" s="103"/>
      <c r="D256" s="104"/>
      <c r="E256" s="104"/>
      <c r="F256" s="104"/>
      <c r="G256" s="69"/>
      <c r="H256" s="69"/>
      <c r="I256" s="69"/>
      <c r="J256" s="69"/>
      <c r="K256" s="69"/>
      <c r="L256" s="69"/>
      <c r="M256" s="69"/>
      <c r="N256" s="69"/>
      <c r="O256" s="69"/>
      <c r="P256" s="69"/>
      <c r="Q256" s="69"/>
      <c r="R256" s="69"/>
    </row>
    <row r="257" spans="2:18" ht="15.75" hidden="1" customHeight="1">
      <c r="B257" s="98"/>
      <c r="C257" s="99"/>
      <c r="D257" s="100"/>
      <c r="E257" s="100"/>
      <c r="F257" s="100"/>
      <c r="G257" s="69"/>
      <c r="H257" s="69"/>
      <c r="I257" s="69"/>
      <c r="J257" s="69"/>
      <c r="K257" s="69"/>
      <c r="L257" s="69"/>
      <c r="M257" s="69"/>
      <c r="N257" s="69"/>
      <c r="O257" s="69"/>
      <c r="P257" s="69"/>
      <c r="Q257" s="69"/>
      <c r="R257" s="69"/>
    </row>
    <row r="258" spans="2:18" ht="15.75" hidden="1" customHeight="1">
      <c r="B258" s="102"/>
      <c r="C258" s="103"/>
      <c r="D258" s="104"/>
      <c r="E258" s="104"/>
      <c r="F258" s="104"/>
      <c r="G258" s="69"/>
      <c r="H258" s="69"/>
      <c r="I258" s="69"/>
      <c r="J258" s="69"/>
      <c r="K258" s="69"/>
      <c r="L258" s="69"/>
      <c r="M258" s="69"/>
      <c r="N258" s="69"/>
      <c r="O258" s="69"/>
      <c r="P258" s="69"/>
      <c r="Q258" s="69"/>
      <c r="R258" s="69"/>
    </row>
    <row r="259" spans="2:18" ht="15.75" hidden="1" customHeight="1">
      <c r="B259" s="98"/>
      <c r="C259" s="99"/>
      <c r="D259" s="100"/>
      <c r="E259" s="100"/>
      <c r="F259" s="100"/>
      <c r="G259" s="69"/>
      <c r="H259" s="69"/>
      <c r="I259" s="69"/>
      <c r="J259" s="69"/>
      <c r="K259" s="69"/>
      <c r="L259" s="69"/>
      <c r="M259" s="69"/>
      <c r="N259" s="69"/>
      <c r="O259" s="69"/>
      <c r="P259" s="69"/>
      <c r="Q259" s="69"/>
      <c r="R259" s="69"/>
    </row>
    <row r="260" spans="2:18" ht="15.75" hidden="1" customHeight="1">
      <c r="B260" s="102"/>
      <c r="C260" s="103"/>
      <c r="D260" s="104"/>
      <c r="E260" s="104"/>
      <c r="F260" s="104"/>
      <c r="G260" s="69"/>
      <c r="H260" s="69"/>
      <c r="I260" s="69"/>
      <c r="J260" s="69"/>
      <c r="K260" s="69"/>
      <c r="L260" s="69"/>
      <c r="M260" s="69"/>
      <c r="N260" s="69"/>
      <c r="O260" s="69"/>
      <c r="P260" s="69"/>
      <c r="Q260" s="69"/>
      <c r="R260" s="69"/>
    </row>
    <row r="261" spans="2:18" ht="15.75" hidden="1" customHeight="1">
      <c r="B261" s="98"/>
      <c r="C261" s="99"/>
      <c r="D261" s="100"/>
      <c r="E261" s="100"/>
      <c r="F261" s="100"/>
      <c r="G261" s="69"/>
      <c r="H261" s="69"/>
      <c r="I261" s="69"/>
      <c r="J261" s="69"/>
      <c r="K261" s="69"/>
      <c r="L261" s="69"/>
      <c r="M261" s="69"/>
      <c r="N261" s="69"/>
      <c r="O261" s="69"/>
      <c r="P261" s="69"/>
      <c r="Q261" s="69"/>
      <c r="R261" s="69"/>
    </row>
    <row r="262" spans="2:18" ht="15.75" hidden="1" customHeight="1">
      <c r="B262" s="102"/>
      <c r="C262" s="103"/>
      <c r="D262" s="104"/>
      <c r="E262" s="104"/>
      <c r="F262" s="104"/>
      <c r="G262" s="69"/>
      <c r="H262" s="69"/>
      <c r="I262" s="69"/>
      <c r="J262" s="69"/>
      <c r="K262" s="69"/>
      <c r="L262" s="69"/>
      <c r="M262" s="69"/>
      <c r="N262" s="69"/>
      <c r="O262" s="69"/>
      <c r="P262" s="69"/>
      <c r="Q262" s="69"/>
      <c r="R262" s="69"/>
    </row>
    <row r="263" spans="2:18" ht="15.75" hidden="1" customHeight="1">
      <c r="B263" s="98"/>
      <c r="C263" s="99"/>
      <c r="D263" s="100"/>
      <c r="E263" s="100"/>
      <c r="F263" s="100"/>
      <c r="G263" s="69"/>
      <c r="H263" s="69"/>
      <c r="I263" s="69"/>
      <c r="J263" s="69"/>
      <c r="K263" s="69"/>
      <c r="L263" s="69"/>
      <c r="M263" s="69"/>
      <c r="N263" s="69"/>
      <c r="O263" s="69"/>
      <c r="P263" s="69"/>
      <c r="Q263" s="69"/>
      <c r="R263" s="69"/>
    </row>
    <row r="264" spans="2:18" ht="15.75" hidden="1" customHeight="1">
      <c r="B264" s="102"/>
      <c r="C264" s="103"/>
      <c r="D264" s="104"/>
      <c r="E264" s="104"/>
      <c r="F264" s="104"/>
      <c r="G264" s="69"/>
      <c r="H264" s="69"/>
      <c r="I264" s="69"/>
      <c r="J264" s="69"/>
      <c r="K264" s="69"/>
      <c r="L264" s="69"/>
      <c r="M264" s="69"/>
      <c r="N264" s="69"/>
      <c r="O264" s="69"/>
      <c r="P264" s="69"/>
      <c r="Q264" s="69"/>
      <c r="R264" s="69"/>
    </row>
    <row r="265" spans="2:18" ht="15.75" hidden="1" customHeight="1">
      <c r="B265" s="98"/>
      <c r="C265" s="99"/>
      <c r="D265" s="100"/>
      <c r="E265" s="100"/>
      <c r="F265" s="100"/>
      <c r="G265" s="69"/>
      <c r="H265" s="69"/>
      <c r="I265" s="69"/>
      <c r="J265" s="69"/>
      <c r="K265" s="69"/>
      <c r="L265" s="69"/>
      <c r="M265" s="69"/>
      <c r="N265" s="69"/>
      <c r="O265" s="69"/>
      <c r="P265" s="69"/>
      <c r="Q265" s="69"/>
      <c r="R265" s="69"/>
    </row>
    <row r="266" spans="2:18" ht="15.75" hidden="1" customHeight="1">
      <c r="B266" s="102"/>
      <c r="C266" s="103"/>
      <c r="D266" s="104"/>
      <c r="E266" s="104"/>
      <c r="F266" s="104"/>
      <c r="G266" s="69"/>
      <c r="H266" s="69"/>
      <c r="I266" s="69"/>
      <c r="J266" s="69"/>
      <c r="K266" s="69"/>
      <c r="L266" s="69"/>
      <c r="M266" s="69"/>
      <c r="N266" s="69"/>
      <c r="O266" s="69"/>
      <c r="P266" s="69"/>
      <c r="Q266" s="69"/>
      <c r="R266" s="69"/>
    </row>
    <row r="267" spans="2:18" ht="15.75" hidden="1" customHeight="1">
      <c r="B267" s="98"/>
      <c r="C267" s="99"/>
      <c r="D267" s="100"/>
      <c r="E267" s="100"/>
      <c r="F267" s="100"/>
      <c r="G267" s="69"/>
      <c r="H267" s="69"/>
      <c r="I267" s="69"/>
      <c r="J267" s="69"/>
      <c r="K267" s="69"/>
      <c r="L267" s="69"/>
      <c r="M267" s="69"/>
      <c r="N267" s="69"/>
      <c r="O267" s="69"/>
      <c r="P267" s="69"/>
      <c r="Q267" s="69"/>
      <c r="R267" s="69"/>
    </row>
    <row r="268" spans="2:18" ht="15.75" hidden="1" customHeight="1">
      <c r="B268" s="102"/>
      <c r="C268" s="103"/>
      <c r="D268" s="104"/>
      <c r="E268" s="104"/>
      <c r="F268" s="104"/>
      <c r="G268" s="69"/>
      <c r="H268" s="69"/>
      <c r="I268" s="69"/>
      <c r="J268" s="69"/>
      <c r="K268" s="69"/>
      <c r="L268" s="69"/>
      <c r="M268" s="69"/>
      <c r="N268" s="69"/>
      <c r="O268" s="69"/>
      <c r="P268" s="69"/>
      <c r="Q268" s="69"/>
      <c r="R268" s="69"/>
    </row>
    <row r="269" spans="2:18" ht="15.75" hidden="1" customHeight="1">
      <c r="B269" s="98"/>
      <c r="C269" s="99"/>
      <c r="D269" s="100"/>
      <c r="E269" s="100"/>
      <c r="F269" s="100"/>
      <c r="G269" s="69"/>
      <c r="H269" s="69"/>
      <c r="I269" s="69"/>
      <c r="J269" s="69"/>
      <c r="K269" s="69"/>
      <c r="L269" s="69"/>
      <c r="M269" s="69"/>
      <c r="N269" s="69"/>
      <c r="O269" s="69"/>
      <c r="P269" s="69"/>
      <c r="Q269" s="69"/>
      <c r="R269" s="69"/>
    </row>
    <row r="270" spans="2:18" ht="15.75" hidden="1" customHeight="1">
      <c r="B270" s="102"/>
      <c r="C270" s="103"/>
      <c r="D270" s="104"/>
      <c r="E270" s="104"/>
      <c r="F270" s="104"/>
      <c r="G270" s="69"/>
      <c r="H270" s="69"/>
      <c r="I270" s="69"/>
      <c r="J270" s="69"/>
      <c r="K270" s="69"/>
      <c r="L270" s="69"/>
      <c r="M270" s="69"/>
      <c r="N270" s="69"/>
      <c r="O270" s="69"/>
      <c r="P270" s="69"/>
      <c r="Q270" s="69"/>
      <c r="R270" s="69"/>
    </row>
    <row r="271" spans="2:18" ht="15.75" hidden="1" customHeight="1">
      <c r="B271" s="98"/>
      <c r="C271" s="99"/>
      <c r="D271" s="100"/>
      <c r="E271" s="100"/>
      <c r="F271" s="100"/>
      <c r="G271" s="69"/>
      <c r="H271" s="69"/>
      <c r="I271" s="69"/>
      <c r="J271" s="69"/>
      <c r="K271" s="69"/>
      <c r="L271" s="69"/>
      <c r="M271" s="69"/>
      <c r="N271" s="69"/>
      <c r="O271" s="69"/>
      <c r="P271" s="69"/>
      <c r="Q271" s="69"/>
      <c r="R271" s="69"/>
    </row>
    <row r="272" spans="2:18" ht="15.75" hidden="1" customHeight="1">
      <c r="B272" s="102"/>
      <c r="C272" s="103"/>
      <c r="D272" s="104"/>
      <c r="E272" s="104"/>
      <c r="F272" s="104"/>
      <c r="G272" s="69"/>
      <c r="H272" s="69"/>
      <c r="I272" s="69"/>
      <c r="J272" s="69"/>
      <c r="K272" s="69"/>
      <c r="L272" s="69"/>
      <c r="M272" s="69"/>
      <c r="N272" s="69"/>
      <c r="O272" s="69"/>
      <c r="P272" s="69"/>
      <c r="Q272" s="69"/>
      <c r="R272" s="69"/>
    </row>
    <row r="273" spans="2:18" ht="15.75" hidden="1" customHeight="1">
      <c r="B273" s="98"/>
      <c r="C273" s="99"/>
      <c r="D273" s="100"/>
      <c r="E273" s="100"/>
      <c r="F273" s="100"/>
      <c r="G273" s="69"/>
      <c r="H273" s="69"/>
      <c r="I273" s="69"/>
      <c r="J273" s="69"/>
      <c r="K273" s="69"/>
      <c r="L273" s="69"/>
      <c r="M273" s="69"/>
      <c r="N273" s="69"/>
      <c r="O273" s="69"/>
      <c r="P273" s="69"/>
      <c r="Q273" s="69"/>
      <c r="R273" s="69"/>
    </row>
    <row r="274" spans="2:18" ht="15.75" hidden="1" customHeight="1">
      <c r="B274" s="102"/>
      <c r="C274" s="103"/>
      <c r="D274" s="104"/>
      <c r="E274" s="104"/>
      <c r="F274" s="104"/>
      <c r="G274" s="69"/>
      <c r="H274" s="69"/>
      <c r="I274" s="69"/>
      <c r="J274" s="69"/>
      <c r="K274" s="69"/>
      <c r="L274" s="69"/>
      <c r="M274" s="69"/>
      <c r="N274" s="69"/>
      <c r="O274" s="69"/>
      <c r="P274" s="69"/>
      <c r="Q274" s="69"/>
      <c r="R274" s="69"/>
    </row>
    <row r="275" spans="2:18" ht="15.75" hidden="1" customHeight="1">
      <c r="B275" s="98"/>
      <c r="C275" s="99"/>
      <c r="D275" s="100"/>
      <c r="E275" s="100"/>
      <c r="F275" s="100"/>
      <c r="G275" s="69"/>
      <c r="H275" s="69"/>
      <c r="I275" s="69"/>
      <c r="J275" s="69"/>
      <c r="K275" s="69"/>
      <c r="L275" s="69"/>
      <c r="M275" s="69"/>
      <c r="N275" s="69"/>
      <c r="O275" s="69"/>
      <c r="P275" s="69"/>
      <c r="Q275" s="69"/>
      <c r="R275" s="69"/>
    </row>
    <row r="276" spans="2:18" ht="15.75" hidden="1" customHeight="1">
      <c r="B276" s="102"/>
      <c r="C276" s="103"/>
      <c r="D276" s="104"/>
      <c r="E276" s="104"/>
      <c r="F276" s="104"/>
      <c r="G276" s="69"/>
      <c r="H276" s="69"/>
      <c r="I276" s="69"/>
      <c r="J276" s="69"/>
      <c r="K276" s="69"/>
      <c r="L276" s="69"/>
      <c r="M276" s="69"/>
      <c r="N276" s="69"/>
      <c r="O276" s="69"/>
      <c r="P276" s="69"/>
      <c r="Q276" s="69"/>
      <c r="R276" s="69"/>
    </row>
    <row r="277" spans="2:18" ht="15.75" hidden="1" customHeight="1">
      <c r="B277" s="98"/>
      <c r="C277" s="99"/>
      <c r="D277" s="100"/>
      <c r="E277" s="100"/>
      <c r="F277" s="100"/>
      <c r="G277" s="69"/>
      <c r="H277" s="69"/>
      <c r="I277" s="69"/>
      <c r="J277" s="69"/>
      <c r="K277" s="69"/>
      <c r="L277" s="69"/>
      <c r="M277" s="69"/>
      <c r="N277" s="69"/>
      <c r="O277" s="69"/>
      <c r="P277" s="69"/>
      <c r="Q277" s="69"/>
      <c r="R277" s="69"/>
    </row>
    <row r="278" spans="2:18" ht="15.75" hidden="1" customHeight="1">
      <c r="B278" s="102"/>
      <c r="C278" s="103"/>
      <c r="D278" s="104"/>
      <c r="E278" s="104"/>
      <c r="F278" s="104"/>
      <c r="G278" s="69"/>
      <c r="H278" s="69"/>
      <c r="I278" s="69"/>
      <c r="J278" s="69"/>
      <c r="K278" s="69"/>
      <c r="L278" s="69"/>
      <c r="M278" s="69"/>
      <c r="N278" s="69"/>
      <c r="O278" s="69"/>
      <c r="P278" s="69"/>
      <c r="Q278" s="69"/>
      <c r="R278" s="69"/>
    </row>
    <row r="279" spans="2:18" ht="15.75" hidden="1" customHeight="1">
      <c r="B279" s="98"/>
      <c r="C279" s="99"/>
      <c r="D279" s="100"/>
      <c r="E279" s="100"/>
      <c r="F279" s="100"/>
      <c r="G279" s="69"/>
      <c r="H279" s="69"/>
      <c r="I279" s="69"/>
      <c r="J279" s="69"/>
      <c r="K279" s="69"/>
      <c r="L279" s="69"/>
      <c r="M279" s="69"/>
      <c r="N279" s="69"/>
      <c r="O279" s="69"/>
      <c r="P279" s="69"/>
      <c r="Q279" s="69"/>
      <c r="R279" s="69"/>
    </row>
    <row r="280" spans="2:18" ht="15.75" hidden="1" customHeight="1">
      <c r="B280" s="102"/>
      <c r="C280" s="103"/>
      <c r="D280" s="104"/>
      <c r="E280" s="104"/>
      <c r="F280" s="104"/>
      <c r="G280" s="69"/>
      <c r="H280" s="69"/>
      <c r="I280" s="69"/>
      <c r="J280" s="69"/>
      <c r="K280" s="69"/>
      <c r="L280" s="69"/>
      <c r="M280" s="69"/>
      <c r="N280" s="69"/>
      <c r="O280" s="69"/>
      <c r="P280" s="69"/>
      <c r="Q280" s="69"/>
      <c r="R280" s="69"/>
    </row>
    <row r="281" spans="2:18" ht="15.75" hidden="1" customHeight="1">
      <c r="B281" s="98"/>
      <c r="C281" s="99"/>
      <c r="D281" s="100"/>
      <c r="E281" s="100"/>
      <c r="F281" s="100"/>
      <c r="G281" s="69"/>
      <c r="H281" s="69"/>
      <c r="I281" s="69"/>
      <c r="J281" s="69"/>
      <c r="K281" s="69"/>
      <c r="L281" s="69"/>
      <c r="M281" s="69"/>
      <c r="N281" s="69"/>
      <c r="O281" s="69"/>
      <c r="P281" s="69"/>
      <c r="Q281" s="69"/>
      <c r="R281" s="69"/>
    </row>
    <row r="282" spans="2:18" ht="15.75" hidden="1" customHeight="1">
      <c r="B282" s="102"/>
      <c r="C282" s="103"/>
      <c r="D282" s="104"/>
      <c r="E282" s="104"/>
      <c r="F282" s="104"/>
      <c r="G282" s="69"/>
      <c r="H282" s="69"/>
      <c r="I282" s="69"/>
      <c r="J282" s="69"/>
      <c r="K282" s="69"/>
      <c r="L282" s="69"/>
      <c r="M282" s="69"/>
      <c r="N282" s="69"/>
      <c r="O282" s="69"/>
      <c r="P282" s="69"/>
      <c r="Q282" s="69"/>
      <c r="R282" s="69"/>
    </row>
    <row r="283" spans="2:18" ht="15.75" hidden="1" customHeight="1">
      <c r="B283" s="98"/>
      <c r="C283" s="99"/>
      <c r="D283" s="100"/>
      <c r="E283" s="100"/>
      <c r="F283" s="100"/>
      <c r="G283" s="69"/>
      <c r="H283" s="69"/>
      <c r="I283" s="69"/>
      <c r="J283" s="69"/>
      <c r="K283" s="69"/>
      <c r="L283" s="69"/>
      <c r="M283" s="69"/>
      <c r="N283" s="69"/>
      <c r="O283" s="69"/>
      <c r="P283" s="69"/>
      <c r="Q283" s="69"/>
      <c r="R283" s="69"/>
    </row>
    <row r="284" spans="2:18" ht="15.75" hidden="1" customHeight="1">
      <c r="B284" s="102"/>
      <c r="C284" s="103"/>
      <c r="D284" s="104"/>
      <c r="E284" s="104"/>
      <c r="F284" s="104"/>
      <c r="G284" s="69"/>
      <c r="H284" s="69"/>
      <c r="I284" s="69"/>
      <c r="J284" s="69"/>
      <c r="K284" s="69"/>
      <c r="L284" s="69"/>
      <c r="M284" s="69"/>
      <c r="N284" s="69"/>
      <c r="O284" s="69"/>
      <c r="P284" s="69"/>
      <c r="Q284" s="69"/>
      <c r="R284" s="69"/>
    </row>
    <row r="285" spans="2:18" ht="15.75" hidden="1" customHeight="1">
      <c r="B285" s="98"/>
      <c r="C285" s="99"/>
      <c r="D285" s="100"/>
      <c r="E285" s="100"/>
      <c r="F285" s="100"/>
      <c r="G285" s="69"/>
      <c r="H285" s="69"/>
      <c r="I285" s="69"/>
      <c r="J285" s="69"/>
      <c r="K285" s="69"/>
      <c r="L285" s="69"/>
      <c r="M285" s="69"/>
      <c r="N285" s="69"/>
      <c r="O285" s="69"/>
      <c r="P285" s="69"/>
      <c r="Q285" s="69"/>
      <c r="R285" s="69"/>
    </row>
    <row r="286" spans="2:18" ht="15.75" hidden="1" customHeight="1">
      <c r="B286" s="102"/>
      <c r="C286" s="103"/>
      <c r="D286" s="104"/>
      <c r="E286" s="104"/>
      <c r="F286" s="104"/>
      <c r="G286" s="69"/>
      <c r="H286" s="69"/>
      <c r="I286" s="69"/>
      <c r="J286" s="69"/>
      <c r="K286" s="69"/>
      <c r="L286" s="69"/>
      <c r="M286" s="69"/>
      <c r="N286" s="69"/>
      <c r="O286" s="69"/>
      <c r="P286" s="69"/>
      <c r="Q286" s="69"/>
      <c r="R286" s="69"/>
    </row>
    <row r="287" spans="2:18" ht="15.75" hidden="1" customHeight="1">
      <c r="B287" s="98"/>
      <c r="C287" s="99"/>
      <c r="D287" s="100"/>
      <c r="E287" s="100"/>
      <c r="F287" s="100"/>
      <c r="G287" s="69"/>
      <c r="H287" s="69"/>
      <c r="I287" s="69"/>
      <c r="J287" s="69"/>
      <c r="K287" s="69"/>
      <c r="L287" s="69"/>
      <c r="M287" s="69"/>
      <c r="N287" s="69"/>
      <c r="O287" s="69"/>
      <c r="P287" s="69"/>
      <c r="Q287" s="69"/>
      <c r="R287" s="69"/>
    </row>
    <row r="288" spans="2:18" ht="15.75" hidden="1" customHeight="1">
      <c r="B288" s="102"/>
      <c r="C288" s="103"/>
      <c r="D288" s="104"/>
      <c r="E288" s="104"/>
      <c r="F288" s="104"/>
      <c r="G288" s="69"/>
      <c r="H288" s="69"/>
      <c r="I288" s="69"/>
      <c r="J288" s="69"/>
      <c r="K288" s="69"/>
      <c r="L288" s="69"/>
      <c r="M288" s="69"/>
      <c r="N288" s="69"/>
      <c r="O288" s="69"/>
      <c r="P288" s="69"/>
      <c r="Q288" s="69"/>
      <c r="R288" s="69"/>
    </row>
    <row r="289" spans="2:18" ht="15.75" hidden="1" customHeight="1">
      <c r="B289" s="98"/>
      <c r="C289" s="99"/>
      <c r="D289" s="100"/>
      <c r="E289" s="100"/>
      <c r="F289" s="100"/>
      <c r="G289" s="69"/>
      <c r="H289" s="69"/>
      <c r="I289" s="69"/>
      <c r="J289" s="69"/>
      <c r="K289" s="69"/>
      <c r="L289" s="69"/>
      <c r="M289" s="69"/>
      <c r="N289" s="69"/>
      <c r="O289" s="69"/>
      <c r="P289" s="69"/>
      <c r="Q289" s="69"/>
      <c r="R289" s="69"/>
    </row>
    <row r="290" spans="2:18" ht="15.75" hidden="1" customHeight="1">
      <c r="B290" s="102"/>
      <c r="C290" s="103"/>
      <c r="D290" s="104"/>
      <c r="E290" s="104"/>
      <c r="F290" s="104"/>
      <c r="G290" s="69"/>
      <c r="H290" s="69"/>
      <c r="I290" s="69"/>
      <c r="J290" s="69"/>
      <c r="K290" s="69"/>
      <c r="L290" s="69"/>
      <c r="M290" s="69"/>
      <c r="N290" s="69"/>
      <c r="O290" s="69"/>
      <c r="P290" s="69"/>
      <c r="Q290" s="69"/>
      <c r="R290" s="69"/>
    </row>
    <row r="291" spans="2:18" ht="15.75" hidden="1" customHeight="1">
      <c r="B291" s="98"/>
      <c r="C291" s="99"/>
      <c r="D291" s="100"/>
      <c r="E291" s="100"/>
      <c r="F291" s="100"/>
      <c r="G291" s="69"/>
      <c r="H291" s="69"/>
      <c r="I291" s="69"/>
      <c r="J291" s="69"/>
      <c r="K291" s="69"/>
      <c r="L291" s="69"/>
      <c r="M291" s="69"/>
      <c r="N291" s="69"/>
      <c r="O291" s="69"/>
      <c r="P291" s="69"/>
      <c r="Q291" s="69"/>
      <c r="R291" s="69"/>
    </row>
    <row r="292" spans="2:18" ht="15.75" hidden="1" customHeight="1">
      <c r="B292" s="102"/>
      <c r="C292" s="103"/>
      <c r="D292" s="104"/>
      <c r="E292" s="104"/>
      <c r="F292" s="104"/>
      <c r="G292" s="69"/>
      <c r="H292" s="69"/>
      <c r="I292" s="69"/>
      <c r="J292" s="69"/>
      <c r="K292" s="69"/>
      <c r="L292" s="69"/>
      <c r="M292" s="69"/>
      <c r="N292" s="69"/>
      <c r="O292" s="69"/>
      <c r="P292" s="69"/>
      <c r="Q292" s="69"/>
      <c r="R292" s="69"/>
    </row>
    <row r="293" spans="2:18" ht="15.75" hidden="1" customHeight="1">
      <c r="B293" s="98"/>
      <c r="C293" s="99"/>
      <c r="D293" s="100"/>
      <c r="E293" s="100"/>
      <c r="F293" s="100"/>
      <c r="G293" s="69"/>
      <c r="H293" s="69"/>
      <c r="I293" s="69"/>
      <c r="J293" s="69"/>
      <c r="K293" s="69"/>
      <c r="L293" s="69"/>
      <c r="M293" s="69"/>
      <c r="N293" s="69"/>
      <c r="O293" s="69"/>
      <c r="P293" s="69"/>
      <c r="Q293" s="69"/>
      <c r="R293" s="69"/>
    </row>
    <row r="294" spans="2:18" ht="15.75" hidden="1" customHeight="1">
      <c r="B294" s="102"/>
      <c r="C294" s="103"/>
      <c r="D294" s="104"/>
      <c r="E294" s="104"/>
      <c r="F294" s="104"/>
      <c r="G294" s="69"/>
      <c r="H294" s="69"/>
      <c r="I294" s="69"/>
      <c r="J294" s="69"/>
      <c r="K294" s="69"/>
      <c r="L294" s="69"/>
      <c r="M294" s="69"/>
      <c r="N294" s="69"/>
      <c r="O294" s="69"/>
      <c r="P294" s="69"/>
      <c r="Q294" s="69"/>
      <c r="R294" s="69"/>
    </row>
    <row r="295" spans="2:18" ht="15.75" hidden="1" customHeight="1">
      <c r="B295" s="98"/>
      <c r="C295" s="99"/>
      <c r="D295" s="100"/>
      <c r="E295" s="100"/>
      <c r="F295" s="100"/>
      <c r="G295" s="69"/>
      <c r="H295" s="69"/>
      <c r="I295" s="69"/>
      <c r="J295" s="69"/>
      <c r="K295" s="69"/>
      <c r="L295" s="69"/>
      <c r="M295" s="69"/>
      <c r="N295" s="69"/>
      <c r="O295" s="69"/>
      <c r="P295" s="69"/>
      <c r="Q295" s="69"/>
      <c r="R295" s="69"/>
    </row>
    <row r="296" spans="2:18" ht="15.75" hidden="1" customHeight="1">
      <c r="B296" s="102"/>
      <c r="C296" s="103"/>
      <c r="D296" s="104"/>
      <c r="E296" s="104"/>
      <c r="F296" s="104"/>
      <c r="G296" s="69"/>
      <c r="H296" s="69"/>
      <c r="I296" s="69"/>
      <c r="J296" s="69"/>
      <c r="K296" s="69"/>
      <c r="L296" s="69"/>
      <c r="M296" s="69"/>
      <c r="N296" s="69"/>
      <c r="O296" s="69"/>
      <c r="P296" s="69"/>
      <c r="Q296" s="69"/>
      <c r="R296" s="69"/>
    </row>
    <row r="297" spans="2:18" ht="15.75" hidden="1" customHeight="1">
      <c r="B297" s="98"/>
      <c r="C297" s="99"/>
      <c r="D297" s="100"/>
      <c r="E297" s="100"/>
      <c r="F297" s="100"/>
      <c r="G297" s="69"/>
      <c r="H297" s="69"/>
      <c r="I297" s="69"/>
      <c r="J297" s="69"/>
      <c r="K297" s="69"/>
      <c r="L297" s="69"/>
      <c r="M297" s="69"/>
      <c r="N297" s="69"/>
      <c r="O297" s="69"/>
      <c r="P297" s="69"/>
      <c r="Q297" s="69"/>
      <c r="R297" s="69"/>
    </row>
    <row r="298" spans="2:18" ht="15.75" hidden="1" customHeight="1">
      <c r="B298" s="102"/>
      <c r="C298" s="103"/>
      <c r="D298" s="104"/>
      <c r="E298" s="104"/>
      <c r="F298" s="104"/>
      <c r="G298" s="69"/>
      <c r="H298" s="69"/>
      <c r="I298" s="69"/>
      <c r="J298" s="69"/>
      <c r="K298" s="69"/>
      <c r="L298" s="69"/>
      <c r="M298" s="69"/>
      <c r="N298" s="69"/>
      <c r="O298" s="69"/>
      <c r="P298" s="69"/>
      <c r="Q298" s="69"/>
      <c r="R298" s="69"/>
    </row>
    <row r="299" spans="2:18" ht="15.75" hidden="1" customHeight="1">
      <c r="B299" s="98"/>
      <c r="C299" s="99"/>
      <c r="D299" s="100"/>
      <c r="E299" s="100"/>
      <c r="F299" s="100"/>
      <c r="G299" s="69"/>
      <c r="H299" s="69"/>
      <c r="I299" s="69"/>
      <c r="J299" s="69"/>
      <c r="K299" s="69"/>
      <c r="L299" s="69"/>
      <c r="M299" s="69"/>
      <c r="N299" s="69"/>
      <c r="O299" s="69"/>
      <c r="P299" s="69"/>
      <c r="Q299" s="69"/>
      <c r="R299" s="69"/>
    </row>
    <row r="300" spans="2:18" ht="15.75" hidden="1" customHeight="1">
      <c r="B300" s="102"/>
      <c r="C300" s="103"/>
      <c r="D300" s="104"/>
      <c r="E300" s="104"/>
      <c r="F300" s="104"/>
      <c r="G300" s="69"/>
      <c r="H300" s="69"/>
      <c r="I300" s="69"/>
      <c r="J300" s="69"/>
      <c r="K300" s="69"/>
      <c r="L300" s="69"/>
      <c r="M300" s="69"/>
      <c r="N300" s="69"/>
      <c r="O300" s="69"/>
      <c r="P300" s="69"/>
      <c r="Q300" s="69"/>
      <c r="R300" s="69"/>
    </row>
    <row r="301" spans="2:18" ht="15.75" hidden="1" customHeight="1">
      <c r="B301" s="98"/>
      <c r="C301" s="99"/>
      <c r="D301" s="100"/>
      <c r="E301" s="100"/>
      <c r="F301" s="100"/>
      <c r="G301" s="69"/>
      <c r="H301" s="69"/>
      <c r="I301" s="69"/>
      <c r="J301" s="69"/>
      <c r="K301" s="69"/>
      <c r="L301" s="69"/>
      <c r="M301" s="69"/>
      <c r="N301" s="69"/>
      <c r="O301" s="69"/>
      <c r="P301" s="69"/>
      <c r="Q301" s="69"/>
      <c r="R301" s="69"/>
    </row>
    <row r="302" spans="2:18" ht="15.75" hidden="1" customHeight="1">
      <c r="B302" s="102"/>
      <c r="C302" s="103"/>
      <c r="D302" s="104"/>
      <c r="E302" s="104"/>
      <c r="F302" s="104"/>
      <c r="G302" s="69"/>
      <c r="H302" s="69"/>
      <c r="I302" s="69"/>
      <c r="J302" s="69"/>
      <c r="K302" s="69"/>
      <c r="L302" s="69"/>
      <c r="M302" s="69"/>
      <c r="N302" s="69"/>
      <c r="O302" s="69"/>
      <c r="P302" s="69"/>
      <c r="Q302" s="69"/>
      <c r="R302" s="69"/>
    </row>
    <row r="303" spans="2:18" ht="15.75" hidden="1" customHeight="1">
      <c r="B303" s="98"/>
      <c r="C303" s="99"/>
      <c r="D303" s="100"/>
      <c r="E303" s="100"/>
      <c r="F303" s="100"/>
      <c r="G303" s="69"/>
      <c r="H303" s="69"/>
      <c r="I303" s="69"/>
      <c r="J303" s="69"/>
      <c r="K303" s="69"/>
      <c r="L303" s="69"/>
      <c r="M303" s="69"/>
      <c r="N303" s="69"/>
      <c r="O303" s="69"/>
      <c r="P303" s="69"/>
      <c r="Q303" s="69"/>
      <c r="R303" s="69"/>
    </row>
    <row r="304" spans="2:18" ht="15.75" hidden="1" customHeight="1">
      <c r="B304" s="102"/>
      <c r="C304" s="103"/>
      <c r="D304" s="104"/>
      <c r="E304" s="104"/>
      <c r="F304" s="104"/>
      <c r="G304" s="69"/>
      <c r="H304" s="69"/>
      <c r="I304" s="69"/>
      <c r="J304" s="69"/>
      <c r="K304" s="69"/>
      <c r="L304" s="69"/>
      <c r="M304" s="69"/>
      <c r="N304" s="69"/>
      <c r="O304" s="69"/>
      <c r="P304" s="69"/>
      <c r="Q304" s="69"/>
      <c r="R304" s="69"/>
    </row>
    <row r="305" spans="2:18" ht="15.75" hidden="1" customHeight="1">
      <c r="B305" s="98"/>
      <c r="C305" s="99"/>
      <c r="D305" s="100"/>
      <c r="E305" s="100"/>
      <c r="F305" s="100"/>
      <c r="G305" s="69"/>
      <c r="H305" s="69"/>
      <c r="I305" s="69"/>
      <c r="J305" s="69"/>
      <c r="K305" s="69"/>
      <c r="L305" s="69"/>
      <c r="M305" s="69"/>
      <c r="N305" s="69"/>
      <c r="O305" s="69"/>
      <c r="P305" s="69"/>
      <c r="Q305" s="69"/>
      <c r="R305" s="69"/>
    </row>
    <row r="306" spans="2:18" ht="15.75" hidden="1" customHeight="1">
      <c r="B306" s="102"/>
      <c r="C306" s="103"/>
      <c r="D306" s="104"/>
      <c r="E306" s="104"/>
      <c r="F306" s="104"/>
      <c r="G306" s="69"/>
      <c r="H306" s="69"/>
      <c r="I306" s="69"/>
      <c r="J306" s="69"/>
      <c r="K306" s="69"/>
      <c r="L306" s="69"/>
      <c r="M306" s="69"/>
      <c r="N306" s="69"/>
      <c r="O306" s="69"/>
      <c r="P306" s="69"/>
      <c r="Q306" s="69"/>
      <c r="R306" s="69"/>
    </row>
    <row r="307" spans="2:18" ht="15.75" hidden="1" customHeight="1">
      <c r="B307" s="98"/>
      <c r="C307" s="99"/>
      <c r="D307" s="100"/>
      <c r="E307" s="100"/>
      <c r="F307" s="100"/>
      <c r="G307" s="69"/>
      <c r="H307" s="69"/>
      <c r="I307" s="69"/>
      <c r="J307" s="69"/>
      <c r="K307" s="69"/>
      <c r="L307" s="69"/>
      <c r="M307" s="69"/>
      <c r="N307" s="69"/>
      <c r="O307" s="69"/>
      <c r="P307" s="69"/>
      <c r="Q307" s="69"/>
      <c r="R307" s="69"/>
    </row>
    <row r="308" spans="2:18" ht="15.75" hidden="1" customHeight="1">
      <c r="B308" s="102"/>
      <c r="C308" s="103"/>
      <c r="D308" s="104"/>
      <c r="E308" s="104"/>
      <c r="F308" s="104"/>
      <c r="G308" s="69"/>
      <c r="H308" s="69"/>
      <c r="I308" s="69"/>
      <c r="J308" s="69"/>
      <c r="K308" s="69"/>
      <c r="L308" s="69"/>
      <c r="M308" s="69"/>
      <c r="N308" s="69"/>
      <c r="O308" s="69"/>
      <c r="P308" s="69"/>
      <c r="Q308" s="69"/>
      <c r="R308" s="69"/>
    </row>
    <row r="309" spans="2:18" ht="15.75" hidden="1" customHeight="1">
      <c r="B309" s="98"/>
      <c r="C309" s="99"/>
      <c r="D309" s="100"/>
      <c r="E309" s="100"/>
      <c r="F309" s="100"/>
      <c r="G309" s="69"/>
      <c r="H309" s="69"/>
      <c r="I309" s="69"/>
      <c r="J309" s="69"/>
      <c r="K309" s="69"/>
      <c r="L309" s="69"/>
      <c r="M309" s="69"/>
      <c r="N309" s="69"/>
      <c r="O309" s="69"/>
      <c r="P309" s="69"/>
      <c r="Q309" s="69"/>
      <c r="R309" s="69"/>
    </row>
    <row r="310" spans="2:18" ht="15.75" hidden="1" customHeight="1">
      <c r="B310" s="102"/>
      <c r="C310" s="103"/>
      <c r="D310" s="104"/>
      <c r="E310" s="104"/>
      <c r="F310" s="104"/>
      <c r="G310" s="69"/>
      <c r="H310" s="69"/>
      <c r="I310" s="69"/>
      <c r="J310" s="69"/>
      <c r="K310" s="69"/>
      <c r="L310" s="69"/>
      <c r="M310" s="69"/>
      <c r="N310" s="69"/>
      <c r="O310" s="69"/>
      <c r="P310" s="69"/>
      <c r="Q310" s="69"/>
      <c r="R310" s="69"/>
    </row>
    <row r="311" spans="2:18" ht="15.75" hidden="1" customHeight="1">
      <c r="B311" s="98"/>
      <c r="C311" s="99"/>
      <c r="D311" s="100"/>
      <c r="E311" s="100"/>
      <c r="F311" s="100"/>
      <c r="G311" s="69"/>
      <c r="H311" s="69"/>
      <c r="I311" s="69"/>
      <c r="J311" s="69"/>
      <c r="K311" s="69"/>
      <c r="L311" s="69"/>
      <c r="M311" s="69"/>
      <c r="N311" s="69"/>
      <c r="O311" s="69"/>
      <c r="P311" s="69"/>
      <c r="Q311" s="69"/>
      <c r="R311" s="69"/>
    </row>
    <row r="312" spans="2:18" ht="15.75" hidden="1" customHeight="1">
      <c r="B312" s="102"/>
      <c r="C312" s="103"/>
      <c r="D312" s="104"/>
      <c r="E312" s="104"/>
      <c r="F312" s="104"/>
      <c r="G312" s="69"/>
      <c r="H312" s="69"/>
      <c r="I312" s="69"/>
      <c r="J312" s="69"/>
      <c r="K312" s="69"/>
      <c r="L312" s="69"/>
      <c r="M312" s="69"/>
      <c r="N312" s="69"/>
      <c r="O312" s="69"/>
      <c r="P312" s="69"/>
      <c r="Q312" s="69"/>
      <c r="R312" s="69"/>
    </row>
    <row r="313" spans="2:18" ht="15.75" hidden="1" customHeight="1">
      <c r="B313" s="98"/>
      <c r="C313" s="99"/>
      <c r="D313" s="100"/>
      <c r="E313" s="100"/>
      <c r="F313" s="100"/>
      <c r="G313" s="69"/>
      <c r="H313" s="69"/>
      <c r="I313" s="69"/>
      <c r="J313" s="69"/>
      <c r="K313" s="69"/>
      <c r="L313" s="69"/>
      <c r="M313" s="69"/>
      <c r="N313" s="69"/>
      <c r="O313" s="69"/>
      <c r="P313" s="69"/>
      <c r="Q313" s="69"/>
      <c r="R313" s="69"/>
    </row>
    <row r="314" spans="2:18" ht="15.75" hidden="1" customHeight="1">
      <c r="B314" s="102"/>
      <c r="C314" s="103"/>
      <c r="D314" s="104"/>
      <c r="E314" s="104"/>
      <c r="F314" s="104"/>
      <c r="G314" s="69"/>
      <c r="H314" s="69"/>
      <c r="I314" s="69"/>
      <c r="J314" s="69"/>
      <c r="K314" s="69"/>
      <c r="L314" s="69"/>
      <c r="M314" s="69"/>
      <c r="N314" s="69"/>
      <c r="O314" s="69"/>
      <c r="P314" s="69"/>
      <c r="Q314" s="69"/>
      <c r="R314" s="69"/>
    </row>
    <row r="315" spans="2:18" ht="15.75" hidden="1" customHeight="1">
      <c r="B315" s="98"/>
      <c r="C315" s="99"/>
      <c r="D315" s="100"/>
      <c r="E315" s="100"/>
      <c r="F315" s="100"/>
      <c r="G315" s="69"/>
      <c r="H315" s="69"/>
      <c r="I315" s="69"/>
      <c r="J315" s="69"/>
      <c r="K315" s="69"/>
      <c r="L315" s="69"/>
      <c r="M315" s="69"/>
      <c r="N315" s="69"/>
      <c r="O315" s="69"/>
      <c r="P315" s="69"/>
      <c r="Q315" s="69"/>
      <c r="R315" s="69"/>
    </row>
    <row r="316" spans="2:18" ht="15.75" hidden="1" customHeight="1">
      <c r="B316" s="102"/>
      <c r="C316" s="103"/>
      <c r="D316" s="104"/>
      <c r="E316" s="104"/>
      <c r="F316" s="104"/>
      <c r="G316" s="69"/>
      <c r="H316" s="69"/>
      <c r="I316" s="69"/>
      <c r="J316" s="69"/>
      <c r="K316" s="69"/>
      <c r="L316" s="69"/>
      <c r="M316" s="69"/>
      <c r="N316" s="69"/>
      <c r="O316" s="69"/>
      <c r="P316" s="69"/>
      <c r="Q316" s="69"/>
      <c r="R316" s="69"/>
    </row>
    <row r="317" spans="2:18" ht="15.75" hidden="1" customHeight="1">
      <c r="B317" s="98"/>
      <c r="C317" s="99"/>
      <c r="D317" s="100"/>
      <c r="E317" s="100"/>
      <c r="F317" s="100"/>
      <c r="G317" s="69"/>
      <c r="H317" s="69"/>
      <c r="I317" s="69"/>
      <c r="J317" s="69"/>
      <c r="K317" s="69"/>
      <c r="L317" s="69"/>
      <c r="M317" s="69"/>
      <c r="N317" s="69"/>
      <c r="O317" s="69"/>
      <c r="P317" s="69"/>
      <c r="Q317" s="69"/>
      <c r="R317" s="69"/>
    </row>
    <row r="318" spans="2:18" ht="15.75" hidden="1" customHeight="1">
      <c r="B318" s="102"/>
      <c r="C318" s="103"/>
      <c r="D318" s="104"/>
      <c r="E318" s="104"/>
      <c r="F318" s="104"/>
      <c r="G318" s="69"/>
      <c r="H318" s="69"/>
      <c r="I318" s="69"/>
      <c r="J318" s="69"/>
      <c r="K318" s="69"/>
      <c r="L318" s="69"/>
      <c r="M318" s="69"/>
      <c r="N318" s="69"/>
      <c r="O318" s="69"/>
      <c r="P318" s="69"/>
      <c r="Q318" s="69"/>
      <c r="R318" s="69"/>
    </row>
    <row r="319" spans="2:18" ht="15.75" hidden="1" customHeight="1">
      <c r="B319" s="98"/>
      <c r="C319" s="99"/>
      <c r="D319" s="100"/>
      <c r="E319" s="100"/>
      <c r="F319" s="100"/>
      <c r="G319" s="69"/>
      <c r="H319" s="69"/>
      <c r="I319" s="69"/>
      <c r="J319" s="69"/>
      <c r="K319" s="69"/>
      <c r="L319" s="69"/>
      <c r="M319" s="69"/>
      <c r="N319" s="69"/>
      <c r="O319" s="69"/>
      <c r="P319" s="69"/>
      <c r="Q319" s="69"/>
      <c r="R319" s="69"/>
    </row>
    <row r="320" spans="2:18" ht="15.75" hidden="1" customHeight="1">
      <c r="B320" s="102"/>
      <c r="C320" s="103"/>
      <c r="D320" s="104"/>
      <c r="E320" s="104"/>
      <c r="F320" s="104"/>
      <c r="G320" s="69"/>
      <c r="H320" s="69"/>
      <c r="I320" s="69"/>
      <c r="J320" s="69"/>
      <c r="K320" s="69"/>
      <c r="L320" s="69"/>
      <c r="M320" s="69"/>
      <c r="N320" s="69"/>
      <c r="O320" s="69"/>
      <c r="P320" s="69"/>
      <c r="Q320" s="69"/>
      <c r="R320" s="69"/>
    </row>
    <row r="321" spans="2:18" ht="15.75" hidden="1" customHeight="1">
      <c r="B321" s="98"/>
      <c r="C321" s="99"/>
      <c r="D321" s="100"/>
      <c r="E321" s="100"/>
      <c r="F321" s="100"/>
      <c r="G321" s="69"/>
      <c r="H321" s="69"/>
      <c r="I321" s="69"/>
      <c r="J321" s="69"/>
      <c r="K321" s="69"/>
      <c r="L321" s="69"/>
      <c r="M321" s="69"/>
      <c r="N321" s="69"/>
      <c r="O321" s="69"/>
      <c r="P321" s="69"/>
      <c r="Q321" s="69"/>
      <c r="R321" s="69"/>
    </row>
    <row r="322" spans="2:18" ht="15.75" hidden="1" customHeight="1">
      <c r="B322" s="102"/>
      <c r="C322" s="103"/>
      <c r="D322" s="104"/>
      <c r="E322" s="104"/>
      <c r="F322" s="104"/>
      <c r="G322" s="69"/>
      <c r="H322" s="69"/>
      <c r="I322" s="69"/>
      <c r="J322" s="69"/>
      <c r="K322" s="69"/>
      <c r="L322" s="69"/>
      <c r="M322" s="69"/>
      <c r="N322" s="69"/>
      <c r="O322" s="69"/>
      <c r="P322" s="69"/>
      <c r="Q322" s="69"/>
      <c r="R322" s="69"/>
    </row>
    <row r="323" spans="2:18" ht="15.75" hidden="1" customHeight="1">
      <c r="B323" s="98"/>
      <c r="C323" s="99"/>
      <c r="D323" s="100"/>
      <c r="E323" s="100"/>
      <c r="F323" s="100"/>
      <c r="G323" s="69"/>
      <c r="H323" s="69"/>
      <c r="I323" s="69"/>
      <c r="J323" s="69"/>
      <c r="K323" s="69"/>
      <c r="L323" s="69"/>
      <c r="M323" s="69"/>
      <c r="N323" s="69"/>
      <c r="O323" s="69"/>
      <c r="P323" s="69"/>
      <c r="Q323" s="69"/>
      <c r="R323" s="69"/>
    </row>
    <row r="324" spans="2:18" ht="15.75" hidden="1" customHeight="1">
      <c r="B324" s="102"/>
      <c r="C324" s="103"/>
      <c r="D324" s="104"/>
      <c r="E324" s="104"/>
      <c r="F324" s="104"/>
      <c r="G324" s="69"/>
      <c r="H324" s="69"/>
      <c r="I324" s="69"/>
      <c r="J324" s="69"/>
      <c r="K324" s="69"/>
      <c r="L324" s="69"/>
      <c r="M324" s="69"/>
      <c r="N324" s="69"/>
      <c r="O324" s="69"/>
      <c r="P324" s="69"/>
      <c r="Q324" s="69"/>
      <c r="R324" s="69"/>
    </row>
    <row r="325" spans="2:18" ht="15.75" hidden="1" customHeight="1">
      <c r="B325" s="98"/>
      <c r="C325" s="99"/>
      <c r="D325" s="100"/>
      <c r="E325" s="100"/>
      <c r="F325" s="100"/>
      <c r="G325" s="69"/>
      <c r="H325" s="69"/>
      <c r="I325" s="69"/>
      <c r="J325" s="69"/>
      <c r="K325" s="69"/>
      <c r="L325" s="69"/>
      <c r="M325" s="69"/>
      <c r="N325" s="69"/>
      <c r="O325" s="69"/>
      <c r="P325" s="69"/>
      <c r="Q325" s="69"/>
      <c r="R325" s="69"/>
    </row>
    <row r="326" spans="2:18" ht="15.75" hidden="1" customHeight="1">
      <c r="B326" s="102"/>
      <c r="C326" s="103"/>
      <c r="D326" s="104"/>
      <c r="E326" s="104"/>
      <c r="F326" s="104"/>
      <c r="G326" s="69"/>
      <c r="H326" s="69"/>
      <c r="I326" s="69"/>
      <c r="J326" s="69"/>
      <c r="K326" s="69"/>
      <c r="L326" s="69"/>
      <c r="M326" s="69"/>
      <c r="N326" s="69"/>
      <c r="O326" s="69"/>
      <c r="P326" s="69"/>
      <c r="Q326" s="69"/>
      <c r="R326" s="69"/>
    </row>
    <row r="327" spans="2:18" ht="15.75" hidden="1" customHeight="1">
      <c r="B327" s="98"/>
      <c r="C327" s="99"/>
      <c r="D327" s="100"/>
      <c r="E327" s="100"/>
      <c r="F327" s="100"/>
      <c r="G327" s="69"/>
      <c r="H327" s="69"/>
      <c r="I327" s="69"/>
      <c r="J327" s="69"/>
      <c r="K327" s="69"/>
      <c r="L327" s="69"/>
      <c r="M327" s="69"/>
      <c r="N327" s="69"/>
      <c r="O327" s="69"/>
      <c r="P327" s="69"/>
      <c r="Q327" s="69"/>
      <c r="R327" s="69"/>
    </row>
    <row r="328" spans="2:18" ht="15.75" hidden="1" customHeight="1">
      <c r="B328" s="102"/>
      <c r="C328" s="103"/>
      <c r="D328" s="104"/>
      <c r="E328" s="104"/>
      <c r="F328" s="104"/>
      <c r="G328" s="69"/>
      <c r="H328" s="69"/>
      <c r="I328" s="69"/>
      <c r="J328" s="69"/>
      <c r="K328" s="69"/>
      <c r="L328" s="69"/>
      <c r="M328" s="69"/>
      <c r="N328" s="69"/>
      <c r="O328" s="69"/>
      <c r="P328" s="69"/>
      <c r="Q328" s="69"/>
      <c r="R328" s="69"/>
    </row>
    <row r="329" spans="2:18" ht="15.75" hidden="1" customHeight="1">
      <c r="B329" s="98"/>
      <c r="C329" s="99"/>
      <c r="D329" s="100"/>
      <c r="E329" s="100"/>
      <c r="F329" s="100"/>
      <c r="G329" s="69"/>
      <c r="H329" s="69"/>
      <c r="I329" s="69"/>
      <c r="J329" s="69"/>
      <c r="K329" s="69"/>
      <c r="L329" s="69"/>
      <c r="M329" s="69"/>
      <c r="N329" s="69"/>
      <c r="O329" s="69"/>
      <c r="P329" s="69"/>
      <c r="Q329" s="69"/>
      <c r="R329" s="69"/>
    </row>
    <row r="330" spans="2:18" ht="15.75" hidden="1" customHeight="1">
      <c r="B330" s="102"/>
      <c r="C330" s="103"/>
      <c r="D330" s="104"/>
      <c r="E330" s="104"/>
      <c r="F330" s="104"/>
      <c r="G330" s="69"/>
      <c r="H330" s="69"/>
      <c r="I330" s="69"/>
      <c r="J330" s="69"/>
      <c r="K330" s="69"/>
      <c r="L330" s="69"/>
      <c r="M330" s="69"/>
      <c r="N330" s="69"/>
      <c r="O330" s="69"/>
      <c r="P330" s="69"/>
      <c r="Q330" s="69"/>
      <c r="R330" s="69"/>
    </row>
    <row r="331" spans="2:18" ht="15.75" hidden="1" customHeight="1">
      <c r="B331" s="98"/>
      <c r="C331" s="99"/>
      <c r="D331" s="100"/>
      <c r="E331" s="100"/>
      <c r="F331" s="100"/>
      <c r="G331" s="69"/>
      <c r="H331" s="69"/>
      <c r="I331" s="69"/>
      <c r="J331" s="69"/>
      <c r="K331" s="69"/>
      <c r="L331" s="69"/>
      <c r="M331" s="69"/>
      <c r="N331" s="69"/>
      <c r="O331" s="69"/>
      <c r="P331" s="69"/>
      <c r="Q331" s="69"/>
      <c r="R331" s="69"/>
    </row>
    <row r="332" spans="2:18" ht="15.75" hidden="1" customHeight="1">
      <c r="B332" s="102"/>
      <c r="C332" s="103"/>
      <c r="D332" s="104"/>
      <c r="E332" s="104"/>
      <c r="F332" s="104"/>
      <c r="G332" s="69"/>
      <c r="H332" s="69"/>
      <c r="I332" s="69"/>
      <c r="J332" s="69"/>
      <c r="K332" s="69"/>
      <c r="L332" s="69"/>
      <c r="M332" s="69"/>
      <c r="N332" s="69"/>
      <c r="O332" s="69"/>
      <c r="P332" s="69"/>
      <c r="Q332" s="69"/>
      <c r="R332" s="69"/>
    </row>
    <row r="333" spans="2:18" ht="15.75" hidden="1" customHeight="1">
      <c r="B333" s="98"/>
      <c r="C333" s="99"/>
      <c r="D333" s="100"/>
      <c r="E333" s="100"/>
      <c r="F333" s="100"/>
      <c r="G333" s="69"/>
      <c r="H333" s="69"/>
      <c r="I333" s="69"/>
      <c r="J333" s="69"/>
      <c r="K333" s="69"/>
      <c r="L333" s="69"/>
      <c r="M333" s="69"/>
      <c r="N333" s="69"/>
      <c r="O333" s="69"/>
      <c r="P333" s="69"/>
      <c r="Q333" s="69"/>
      <c r="R333" s="69"/>
    </row>
    <row r="334" spans="2:18" ht="15.75" hidden="1" customHeight="1">
      <c r="B334" s="102"/>
      <c r="C334" s="103"/>
      <c r="D334" s="104"/>
      <c r="E334" s="104"/>
      <c r="F334" s="104"/>
      <c r="G334" s="69"/>
      <c r="H334" s="69"/>
      <c r="I334" s="69"/>
      <c r="J334" s="69"/>
      <c r="K334" s="69"/>
      <c r="L334" s="69"/>
      <c r="M334" s="69"/>
      <c r="N334" s="69"/>
      <c r="O334" s="69"/>
      <c r="P334" s="69"/>
      <c r="Q334" s="69"/>
      <c r="R334" s="69"/>
    </row>
    <row r="335" spans="2:18" ht="15.75" hidden="1" customHeight="1">
      <c r="B335" s="98"/>
      <c r="C335" s="99"/>
      <c r="D335" s="100"/>
      <c r="E335" s="100"/>
      <c r="F335" s="100"/>
      <c r="G335" s="69"/>
      <c r="H335" s="69"/>
      <c r="I335" s="69"/>
      <c r="J335" s="69"/>
      <c r="K335" s="69"/>
      <c r="L335" s="69"/>
      <c r="M335" s="69"/>
      <c r="N335" s="69"/>
      <c r="O335" s="69"/>
      <c r="P335" s="69"/>
      <c r="Q335" s="69"/>
      <c r="R335" s="69"/>
    </row>
    <row r="336" spans="2:18" ht="15.75" hidden="1" customHeight="1">
      <c r="B336" s="102"/>
      <c r="C336" s="103"/>
      <c r="D336" s="104"/>
      <c r="E336" s="104"/>
      <c r="F336" s="104"/>
      <c r="G336" s="69"/>
      <c r="H336" s="69"/>
      <c r="I336" s="69"/>
      <c r="J336" s="69"/>
      <c r="K336" s="69"/>
      <c r="L336" s="69"/>
      <c r="M336" s="69"/>
      <c r="N336" s="69"/>
      <c r="O336" s="69"/>
      <c r="P336" s="69"/>
      <c r="Q336" s="69"/>
      <c r="R336" s="69"/>
    </row>
    <row r="337" spans="2:18" ht="15.75" hidden="1" customHeight="1">
      <c r="B337" s="98"/>
      <c r="C337" s="99"/>
      <c r="D337" s="100"/>
      <c r="E337" s="100"/>
      <c r="F337" s="100"/>
      <c r="G337" s="69"/>
      <c r="H337" s="69"/>
      <c r="I337" s="69"/>
      <c r="J337" s="69"/>
      <c r="K337" s="69"/>
      <c r="L337" s="69"/>
      <c r="M337" s="69"/>
      <c r="N337" s="69"/>
      <c r="O337" s="69"/>
      <c r="P337" s="69"/>
      <c r="Q337" s="69"/>
      <c r="R337" s="69"/>
    </row>
    <row r="338" spans="2:18" ht="15.75" hidden="1" customHeight="1">
      <c r="B338" s="102"/>
      <c r="C338" s="103"/>
      <c r="D338" s="104"/>
      <c r="E338" s="104"/>
      <c r="F338" s="104"/>
      <c r="G338" s="69"/>
      <c r="H338" s="69"/>
      <c r="I338" s="69"/>
      <c r="J338" s="69"/>
      <c r="K338" s="69"/>
      <c r="L338" s="69"/>
      <c r="M338" s="69"/>
      <c r="N338" s="69"/>
      <c r="O338" s="69"/>
      <c r="P338" s="69"/>
      <c r="Q338" s="69"/>
      <c r="R338" s="69"/>
    </row>
    <row r="339" spans="2:18" ht="15.75" hidden="1" customHeight="1">
      <c r="B339" s="98"/>
      <c r="C339" s="99"/>
      <c r="D339" s="100"/>
      <c r="E339" s="100"/>
      <c r="F339" s="100"/>
      <c r="G339" s="69"/>
      <c r="H339" s="69"/>
      <c r="I339" s="69"/>
      <c r="J339" s="69"/>
      <c r="K339" s="69"/>
      <c r="L339" s="69"/>
      <c r="M339" s="69"/>
      <c r="N339" s="69"/>
      <c r="O339" s="69"/>
      <c r="P339" s="69"/>
      <c r="Q339" s="69"/>
      <c r="R339" s="69"/>
    </row>
    <row r="340" spans="2:18" ht="15.75" hidden="1" customHeight="1">
      <c r="B340" s="102"/>
      <c r="C340" s="103"/>
      <c r="D340" s="104"/>
      <c r="E340" s="104"/>
      <c r="F340" s="104"/>
      <c r="G340" s="69"/>
      <c r="H340" s="69"/>
      <c r="I340" s="69"/>
      <c r="J340" s="69"/>
      <c r="K340" s="69"/>
      <c r="L340" s="69"/>
      <c r="M340" s="69"/>
      <c r="N340" s="69"/>
      <c r="O340" s="69"/>
      <c r="P340" s="69"/>
      <c r="Q340" s="69"/>
      <c r="R340" s="69"/>
    </row>
    <row r="341" spans="2:18" ht="15.75" hidden="1" customHeight="1">
      <c r="B341" s="98"/>
      <c r="C341" s="99"/>
      <c r="D341" s="100"/>
      <c r="E341" s="100"/>
      <c r="F341" s="100"/>
      <c r="G341" s="69"/>
      <c r="H341" s="69"/>
      <c r="I341" s="69"/>
      <c r="J341" s="69"/>
      <c r="K341" s="69"/>
      <c r="L341" s="69"/>
      <c r="M341" s="69"/>
      <c r="N341" s="69"/>
      <c r="O341" s="69"/>
      <c r="P341" s="69"/>
      <c r="Q341" s="69"/>
      <c r="R341" s="69"/>
    </row>
    <row r="342" spans="2:18" ht="15.75" hidden="1" customHeight="1">
      <c r="B342" s="102"/>
      <c r="C342" s="103"/>
      <c r="D342" s="104"/>
      <c r="E342" s="104"/>
      <c r="F342" s="104"/>
      <c r="G342" s="69"/>
      <c r="H342" s="69"/>
      <c r="I342" s="69"/>
      <c r="J342" s="69"/>
      <c r="K342" s="69"/>
      <c r="L342" s="69"/>
      <c r="M342" s="69"/>
      <c r="N342" s="69"/>
      <c r="O342" s="69"/>
      <c r="P342" s="69"/>
      <c r="Q342" s="69"/>
      <c r="R342" s="69"/>
    </row>
    <row r="343" spans="2:18" ht="15.75" hidden="1" customHeight="1">
      <c r="B343" s="98"/>
      <c r="C343" s="99"/>
      <c r="D343" s="100"/>
      <c r="E343" s="100"/>
      <c r="F343" s="100"/>
      <c r="G343" s="69"/>
      <c r="H343" s="69"/>
      <c r="I343" s="69"/>
      <c r="J343" s="69"/>
      <c r="K343" s="69"/>
      <c r="L343" s="69"/>
      <c r="M343" s="69"/>
      <c r="N343" s="69"/>
      <c r="O343" s="69"/>
      <c r="P343" s="69"/>
      <c r="Q343" s="69"/>
      <c r="R343" s="69"/>
    </row>
    <row r="344" spans="2:18" ht="15.75" hidden="1" customHeight="1">
      <c r="B344" s="102"/>
      <c r="C344" s="103"/>
      <c r="D344" s="104"/>
      <c r="E344" s="104"/>
      <c r="F344" s="104"/>
      <c r="G344" s="69"/>
      <c r="H344" s="69"/>
      <c r="I344" s="69"/>
      <c r="J344" s="69"/>
      <c r="K344" s="69"/>
      <c r="L344" s="69"/>
      <c r="M344" s="69"/>
      <c r="N344" s="69"/>
      <c r="O344" s="69"/>
      <c r="P344" s="69"/>
      <c r="Q344" s="69"/>
      <c r="R344" s="69"/>
    </row>
    <row r="345" spans="2:18" ht="15.75" hidden="1" customHeight="1">
      <c r="B345" s="98"/>
      <c r="C345" s="99"/>
      <c r="D345" s="100"/>
      <c r="E345" s="100"/>
      <c r="F345" s="100"/>
      <c r="G345" s="69"/>
      <c r="H345" s="69"/>
      <c r="I345" s="69"/>
      <c r="J345" s="69"/>
      <c r="K345" s="69"/>
      <c r="L345" s="69"/>
      <c r="M345" s="69"/>
      <c r="N345" s="69"/>
      <c r="O345" s="69"/>
      <c r="P345" s="69"/>
      <c r="Q345" s="69"/>
      <c r="R345" s="69"/>
    </row>
    <row r="346" spans="2:18" ht="15.75" hidden="1" customHeight="1">
      <c r="B346" s="102"/>
      <c r="C346" s="103"/>
      <c r="D346" s="104"/>
      <c r="E346" s="104"/>
      <c r="F346" s="104"/>
      <c r="G346" s="69"/>
      <c r="H346" s="69"/>
      <c r="I346" s="69"/>
      <c r="J346" s="69"/>
      <c r="K346" s="69"/>
      <c r="L346" s="69"/>
      <c r="M346" s="69"/>
      <c r="N346" s="69"/>
      <c r="O346" s="69"/>
      <c r="P346" s="69"/>
      <c r="Q346" s="69"/>
      <c r="R346" s="69"/>
    </row>
    <row r="347" spans="2:18" ht="15.75" hidden="1" customHeight="1">
      <c r="B347" s="98"/>
      <c r="C347" s="99"/>
      <c r="D347" s="100"/>
      <c r="E347" s="100"/>
      <c r="F347" s="100"/>
      <c r="G347" s="69"/>
      <c r="H347" s="69"/>
      <c r="I347" s="69"/>
      <c r="J347" s="69"/>
      <c r="K347" s="69"/>
      <c r="L347" s="69"/>
      <c r="M347" s="69"/>
      <c r="N347" s="69"/>
      <c r="O347" s="69"/>
      <c r="P347" s="69"/>
      <c r="Q347" s="69"/>
      <c r="R347" s="69"/>
    </row>
    <row r="348" spans="2:18" ht="15.75" hidden="1" customHeight="1">
      <c r="B348" s="102"/>
      <c r="C348" s="103"/>
      <c r="D348" s="104"/>
      <c r="E348" s="104"/>
      <c r="F348" s="104"/>
      <c r="G348" s="69"/>
      <c r="H348" s="69"/>
      <c r="I348" s="69"/>
      <c r="J348" s="69"/>
      <c r="K348" s="69"/>
      <c r="L348" s="69"/>
      <c r="M348" s="69"/>
      <c r="N348" s="69"/>
      <c r="O348" s="69"/>
      <c r="P348" s="69"/>
      <c r="Q348" s="69"/>
      <c r="R348" s="69"/>
    </row>
    <row r="349" spans="2:18" ht="15.75" hidden="1" customHeight="1">
      <c r="B349" s="98"/>
      <c r="C349" s="99"/>
      <c r="D349" s="100"/>
      <c r="E349" s="100"/>
      <c r="F349" s="100"/>
      <c r="G349" s="69"/>
      <c r="H349" s="69"/>
      <c r="I349" s="69"/>
      <c r="J349" s="69"/>
      <c r="K349" s="69"/>
      <c r="L349" s="69"/>
      <c r="M349" s="69"/>
      <c r="N349" s="69"/>
      <c r="O349" s="69"/>
      <c r="P349" s="69"/>
      <c r="Q349" s="69"/>
      <c r="R349" s="69"/>
    </row>
    <row r="350" spans="2:18" ht="15.75" hidden="1" customHeight="1">
      <c r="B350" s="102"/>
      <c r="C350" s="103"/>
      <c r="D350" s="104"/>
      <c r="E350" s="104"/>
      <c r="F350" s="104"/>
      <c r="G350" s="69"/>
      <c r="H350" s="69"/>
      <c r="I350" s="69"/>
      <c r="J350" s="69"/>
      <c r="K350" s="69"/>
      <c r="L350" s="69"/>
      <c r="M350" s="69"/>
      <c r="N350" s="69"/>
      <c r="O350" s="69"/>
      <c r="P350" s="69"/>
      <c r="Q350" s="69"/>
      <c r="R350" s="69"/>
    </row>
    <row r="351" spans="2:18" ht="15.75" hidden="1" customHeight="1">
      <c r="B351" s="98"/>
      <c r="C351" s="99"/>
      <c r="D351" s="100"/>
      <c r="E351" s="100"/>
      <c r="F351" s="100"/>
      <c r="G351" s="69"/>
      <c r="H351" s="69"/>
      <c r="I351" s="69"/>
      <c r="J351" s="69"/>
      <c r="K351" s="69"/>
      <c r="L351" s="69"/>
      <c r="M351" s="69"/>
      <c r="N351" s="69"/>
      <c r="O351" s="69"/>
      <c r="P351" s="69"/>
      <c r="Q351" s="69"/>
      <c r="R351" s="69"/>
    </row>
    <row r="352" spans="2:18" ht="15.75" hidden="1" customHeight="1">
      <c r="B352" s="102"/>
      <c r="C352" s="103"/>
      <c r="D352" s="104"/>
      <c r="E352" s="104"/>
      <c r="F352" s="104"/>
      <c r="G352" s="69"/>
      <c r="H352" s="69"/>
      <c r="I352" s="69"/>
      <c r="J352" s="69"/>
      <c r="K352" s="69"/>
      <c r="L352" s="69"/>
      <c r="M352" s="69"/>
      <c r="N352" s="69"/>
      <c r="O352" s="69"/>
      <c r="P352" s="69"/>
      <c r="Q352" s="69"/>
      <c r="R352" s="69"/>
    </row>
    <row r="353" spans="2:18" ht="15.75" hidden="1" customHeight="1">
      <c r="B353" s="98"/>
      <c r="C353" s="99"/>
      <c r="D353" s="100"/>
      <c r="E353" s="100"/>
      <c r="F353" s="100"/>
      <c r="G353" s="69"/>
      <c r="H353" s="69"/>
      <c r="I353" s="69"/>
      <c r="J353" s="69"/>
      <c r="K353" s="69"/>
      <c r="L353" s="69"/>
      <c r="M353" s="69"/>
      <c r="N353" s="69"/>
      <c r="O353" s="69"/>
      <c r="P353" s="69"/>
      <c r="Q353" s="69"/>
      <c r="R353" s="69"/>
    </row>
    <row r="354" spans="2:18" ht="15.75" hidden="1" customHeight="1">
      <c r="B354" s="102"/>
      <c r="C354" s="103"/>
      <c r="D354" s="104"/>
      <c r="E354" s="104"/>
      <c r="F354" s="104"/>
      <c r="G354" s="69"/>
      <c r="H354" s="69"/>
      <c r="I354" s="69"/>
      <c r="J354" s="69"/>
      <c r="K354" s="69"/>
      <c r="L354" s="69"/>
      <c r="M354" s="69"/>
      <c r="N354" s="69"/>
      <c r="O354" s="69"/>
      <c r="P354" s="69"/>
      <c r="Q354" s="69"/>
      <c r="R354" s="69"/>
    </row>
    <row r="355" spans="2:18" ht="15.75" hidden="1" customHeight="1">
      <c r="B355" s="98"/>
      <c r="C355" s="99"/>
      <c r="D355" s="100"/>
      <c r="E355" s="100"/>
      <c r="F355" s="100"/>
      <c r="G355" s="69"/>
      <c r="H355" s="69"/>
      <c r="I355" s="69"/>
      <c r="J355" s="69"/>
      <c r="K355" s="69"/>
      <c r="L355" s="69"/>
      <c r="M355" s="69"/>
      <c r="N355" s="69"/>
      <c r="O355" s="69"/>
      <c r="P355" s="69"/>
      <c r="Q355" s="69"/>
      <c r="R355" s="69"/>
    </row>
    <row r="356" spans="2:18" ht="15.75" hidden="1" customHeight="1">
      <c r="B356" s="102"/>
      <c r="C356" s="103"/>
      <c r="D356" s="104"/>
      <c r="E356" s="104"/>
      <c r="F356" s="104"/>
      <c r="G356" s="69"/>
      <c r="H356" s="69"/>
      <c r="I356" s="69"/>
      <c r="J356" s="69"/>
      <c r="K356" s="69"/>
      <c r="L356" s="69"/>
      <c r="M356" s="69"/>
      <c r="N356" s="69"/>
      <c r="O356" s="69"/>
      <c r="P356" s="69"/>
      <c r="Q356" s="69"/>
      <c r="R356" s="69"/>
    </row>
    <row r="357" spans="2:18" ht="15.75" hidden="1" customHeight="1">
      <c r="B357" s="98"/>
      <c r="C357" s="99"/>
      <c r="D357" s="100"/>
      <c r="E357" s="100"/>
      <c r="F357" s="100"/>
      <c r="G357" s="69"/>
      <c r="H357" s="69"/>
      <c r="I357" s="69"/>
      <c r="J357" s="69"/>
      <c r="K357" s="69"/>
      <c r="L357" s="69"/>
      <c r="M357" s="69"/>
      <c r="N357" s="69"/>
      <c r="O357" s="69"/>
      <c r="P357" s="69"/>
      <c r="Q357" s="69"/>
      <c r="R357" s="69"/>
    </row>
    <row r="358" spans="2:18" ht="15.75" hidden="1" customHeight="1">
      <c r="B358" s="102"/>
      <c r="C358" s="103"/>
      <c r="D358" s="104"/>
      <c r="E358" s="104"/>
      <c r="F358" s="104"/>
      <c r="G358" s="69"/>
      <c r="H358" s="69"/>
      <c r="I358" s="69"/>
      <c r="J358" s="69"/>
      <c r="K358" s="69"/>
      <c r="L358" s="69"/>
      <c r="M358" s="69"/>
      <c r="N358" s="69"/>
      <c r="O358" s="69"/>
      <c r="P358" s="69"/>
      <c r="Q358" s="69"/>
      <c r="R358" s="69"/>
    </row>
    <row r="359" spans="2:18" ht="15.75" hidden="1" customHeight="1">
      <c r="B359" s="98"/>
      <c r="C359" s="99"/>
      <c r="D359" s="100"/>
      <c r="E359" s="100"/>
      <c r="F359" s="100"/>
      <c r="G359" s="69"/>
      <c r="H359" s="69"/>
      <c r="I359" s="69"/>
      <c r="J359" s="69"/>
      <c r="K359" s="69"/>
      <c r="L359" s="69"/>
      <c r="M359" s="69"/>
      <c r="N359" s="69"/>
      <c r="O359" s="69"/>
      <c r="P359" s="69"/>
      <c r="Q359" s="69"/>
      <c r="R359" s="69"/>
    </row>
    <row r="360" spans="2:18" ht="15.75" hidden="1" customHeight="1">
      <c r="B360" s="102"/>
      <c r="C360" s="103"/>
      <c r="D360" s="104"/>
      <c r="E360" s="104"/>
      <c r="F360" s="104"/>
      <c r="G360" s="69"/>
      <c r="H360" s="69"/>
      <c r="I360" s="69"/>
      <c r="J360" s="69"/>
      <c r="K360" s="69"/>
      <c r="L360" s="69"/>
      <c r="M360" s="69"/>
      <c r="N360" s="69"/>
      <c r="O360" s="69"/>
      <c r="P360" s="69"/>
      <c r="Q360" s="69"/>
      <c r="R360" s="69"/>
    </row>
    <row r="361" spans="2:18" ht="15.75" hidden="1" customHeight="1">
      <c r="B361" s="98"/>
      <c r="C361" s="99"/>
      <c r="D361" s="100"/>
      <c r="E361" s="100"/>
      <c r="F361" s="100"/>
      <c r="G361" s="69"/>
      <c r="H361" s="69"/>
      <c r="I361" s="69"/>
      <c r="J361" s="69"/>
      <c r="K361" s="69"/>
      <c r="L361" s="69"/>
      <c r="M361" s="69"/>
      <c r="N361" s="69"/>
      <c r="O361" s="69"/>
      <c r="P361" s="69"/>
      <c r="Q361" s="69"/>
      <c r="R361" s="69"/>
    </row>
    <row r="362" spans="2:18" ht="15.75" hidden="1" customHeight="1">
      <c r="B362" s="102"/>
      <c r="C362" s="103"/>
      <c r="D362" s="104"/>
      <c r="E362" s="104"/>
      <c r="F362" s="104"/>
      <c r="G362" s="69"/>
      <c r="H362" s="69"/>
      <c r="I362" s="69"/>
      <c r="J362" s="69"/>
      <c r="K362" s="69"/>
      <c r="L362" s="69"/>
      <c r="M362" s="69"/>
      <c r="N362" s="69"/>
      <c r="O362" s="69"/>
      <c r="P362" s="69"/>
      <c r="Q362" s="69"/>
      <c r="R362" s="69"/>
    </row>
    <row r="363" spans="2:18" ht="15.75" hidden="1" customHeight="1">
      <c r="B363" s="98"/>
      <c r="C363" s="99"/>
      <c r="D363" s="100"/>
      <c r="E363" s="100"/>
      <c r="F363" s="100"/>
      <c r="G363" s="69"/>
      <c r="H363" s="69"/>
      <c r="I363" s="69"/>
      <c r="J363" s="69"/>
      <c r="K363" s="69"/>
      <c r="L363" s="69"/>
      <c r="M363" s="69"/>
      <c r="N363" s="69"/>
      <c r="O363" s="69"/>
      <c r="P363" s="69"/>
      <c r="Q363" s="69"/>
      <c r="R363" s="69"/>
    </row>
    <row r="364" spans="2:18" ht="15.75" hidden="1" customHeight="1">
      <c r="B364" s="102"/>
      <c r="C364" s="103"/>
      <c r="D364" s="104"/>
      <c r="E364" s="104"/>
      <c r="F364" s="104"/>
      <c r="G364" s="69"/>
      <c r="H364" s="69"/>
      <c r="I364" s="69"/>
      <c r="J364" s="69"/>
      <c r="K364" s="69"/>
      <c r="L364" s="69"/>
      <c r="M364" s="69"/>
      <c r="N364" s="69"/>
      <c r="O364" s="69"/>
      <c r="P364" s="69"/>
      <c r="Q364" s="69"/>
      <c r="R364" s="69"/>
    </row>
    <row r="365" spans="2:18" ht="15.75" hidden="1" customHeight="1">
      <c r="B365" s="98"/>
      <c r="C365" s="99"/>
      <c r="D365" s="100"/>
      <c r="E365" s="100"/>
      <c r="F365" s="100"/>
      <c r="G365" s="69"/>
      <c r="H365" s="69"/>
      <c r="I365" s="69"/>
      <c r="J365" s="69"/>
      <c r="K365" s="69"/>
      <c r="L365" s="69"/>
      <c r="M365" s="69"/>
      <c r="N365" s="69"/>
      <c r="O365" s="69"/>
      <c r="P365" s="69"/>
      <c r="Q365" s="69"/>
      <c r="R365" s="69"/>
    </row>
    <row r="366" spans="2:18" ht="15.75" hidden="1" customHeight="1">
      <c r="B366" s="102"/>
      <c r="C366" s="103"/>
      <c r="D366" s="104"/>
      <c r="E366" s="104"/>
      <c r="F366" s="104"/>
      <c r="G366" s="69"/>
      <c r="H366" s="69"/>
      <c r="I366" s="69"/>
      <c r="J366" s="69"/>
      <c r="K366" s="69"/>
      <c r="L366" s="69"/>
      <c r="M366" s="69"/>
      <c r="N366" s="69"/>
      <c r="O366" s="69"/>
      <c r="P366" s="69"/>
      <c r="Q366" s="69"/>
      <c r="R366" s="69"/>
    </row>
    <row r="367" spans="2:18" ht="15.75" hidden="1" customHeight="1">
      <c r="B367" s="98"/>
      <c r="C367" s="99"/>
      <c r="D367" s="100"/>
      <c r="E367" s="100"/>
      <c r="F367" s="100"/>
      <c r="G367" s="69"/>
      <c r="H367" s="69"/>
      <c r="I367" s="69"/>
      <c r="J367" s="69"/>
      <c r="K367" s="69"/>
      <c r="L367" s="69"/>
      <c r="M367" s="69"/>
      <c r="N367" s="69"/>
      <c r="O367" s="69"/>
      <c r="P367" s="69"/>
      <c r="Q367" s="69"/>
      <c r="R367" s="69"/>
    </row>
    <row r="368" spans="2:18" ht="15.75" hidden="1" customHeight="1">
      <c r="B368" s="102"/>
      <c r="C368" s="103"/>
      <c r="D368" s="104"/>
      <c r="E368" s="104"/>
      <c r="F368" s="104"/>
      <c r="G368" s="69"/>
      <c r="H368" s="69"/>
      <c r="I368" s="69"/>
      <c r="J368" s="69"/>
      <c r="K368" s="69"/>
      <c r="L368" s="69"/>
      <c r="M368" s="69"/>
      <c r="N368" s="69"/>
      <c r="O368" s="69"/>
      <c r="P368" s="69"/>
      <c r="Q368" s="69"/>
      <c r="R368" s="69"/>
    </row>
    <row r="369" spans="2:18" ht="15.75" hidden="1" customHeight="1">
      <c r="B369" s="98"/>
      <c r="C369" s="99"/>
      <c r="D369" s="100"/>
      <c r="E369" s="100"/>
      <c r="F369" s="100"/>
      <c r="G369" s="69"/>
      <c r="H369" s="69"/>
      <c r="I369" s="69"/>
      <c r="J369" s="69"/>
      <c r="K369" s="69"/>
      <c r="L369" s="69"/>
      <c r="M369" s="69"/>
      <c r="N369" s="69"/>
      <c r="O369" s="69"/>
      <c r="P369" s="69"/>
      <c r="Q369" s="69"/>
      <c r="R369" s="69"/>
    </row>
    <row r="370" spans="2:18" ht="15.75" hidden="1" customHeight="1">
      <c r="B370" s="102"/>
      <c r="C370" s="103"/>
      <c r="D370" s="104"/>
      <c r="E370" s="104"/>
      <c r="F370" s="104"/>
      <c r="G370" s="69"/>
      <c r="H370" s="69"/>
      <c r="I370" s="69"/>
      <c r="J370" s="69"/>
      <c r="K370" s="69"/>
      <c r="L370" s="69"/>
      <c r="M370" s="69"/>
      <c r="N370" s="69"/>
      <c r="O370" s="69"/>
      <c r="P370" s="69"/>
      <c r="Q370" s="69"/>
      <c r="R370" s="69"/>
    </row>
    <row r="371" spans="2:18" ht="15.75" hidden="1" customHeight="1">
      <c r="B371" s="98"/>
      <c r="C371" s="99"/>
      <c r="D371" s="100"/>
      <c r="E371" s="100"/>
      <c r="F371" s="100"/>
      <c r="G371" s="69"/>
      <c r="H371" s="69"/>
      <c r="I371" s="69"/>
      <c r="J371" s="69"/>
      <c r="K371" s="69"/>
      <c r="L371" s="69"/>
      <c r="M371" s="69"/>
      <c r="N371" s="69"/>
      <c r="O371" s="69"/>
      <c r="P371" s="69"/>
      <c r="Q371" s="69"/>
      <c r="R371" s="69"/>
    </row>
    <row r="372" spans="2:18" ht="15.75" hidden="1" customHeight="1">
      <c r="B372" s="102"/>
      <c r="C372" s="103"/>
      <c r="D372" s="104"/>
      <c r="E372" s="104"/>
      <c r="F372" s="104"/>
      <c r="G372" s="69"/>
      <c r="H372" s="69"/>
      <c r="I372" s="69"/>
      <c r="J372" s="69"/>
      <c r="K372" s="69"/>
      <c r="L372" s="69"/>
      <c r="M372" s="69"/>
      <c r="N372" s="69"/>
      <c r="O372" s="69"/>
      <c r="P372" s="69"/>
      <c r="Q372" s="69"/>
      <c r="R372" s="69"/>
    </row>
    <row r="373" spans="2:18" ht="15.75" hidden="1" customHeight="1">
      <c r="B373" s="98"/>
      <c r="C373" s="99"/>
      <c r="D373" s="100"/>
      <c r="E373" s="100"/>
      <c r="F373" s="100"/>
      <c r="G373" s="69"/>
      <c r="H373" s="69"/>
      <c r="I373" s="69"/>
      <c r="J373" s="69"/>
      <c r="K373" s="69"/>
      <c r="L373" s="69"/>
      <c r="M373" s="69"/>
      <c r="N373" s="69"/>
      <c r="O373" s="69"/>
      <c r="P373" s="69"/>
      <c r="Q373" s="69"/>
      <c r="R373" s="69"/>
    </row>
    <row r="374" spans="2:18" ht="15.75" hidden="1" customHeight="1">
      <c r="B374" s="102"/>
      <c r="C374" s="103"/>
      <c r="D374" s="104"/>
      <c r="E374" s="104"/>
      <c r="F374" s="104"/>
      <c r="G374" s="69"/>
      <c r="H374" s="69"/>
      <c r="I374" s="69"/>
      <c r="J374" s="69"/>
      <c r="K374" s="69"/>
      <c r="L374" s="69"/>
      <c r="M374" s="69"/>
      <c r="N374" s="69"/>
      <c r="O374" s="69"/>
      <c r="P374" s="69"/>
      <c r="Q374" s="69"/>
      <c r="R374" s="69"/>
    </row>
    <row r="375" spans="2:18" ht="15.75" hidden="1" customHeight="1">
      <c r="B375" s="98"/>
      <c r="C375" s="99"/>
      <c r="D375" s="100"/>
      <c r="E375" s="100"/>
      <c r="F375" s="100"/>
      <c r="G375" s="69"/>
      <c r="H375" s="69"/>
      <c r="I375" s="69"/>
      <c r="J375" s="69"/>
      <c r="K375" s="69"/>
      <c r="L375" s="69"/>
      <c r="M375" s="69"/>
      <c r="N375" s="69"/>
      <c r="O375" s="69"/>
      <c r="P375" s="69"/>
      <c r="Q375" s="69"/>
      <c r="R375" s="69"/>
    </row>
    <row r="376" spans="2:18" ht="15.75" hidden="1" customHeight="1">
      <c r="B376" s="102"/>
      <c r="C376" s="103"/>
      <c r="D376" s="104"/>
      <c r="E376" s="104"/>
      <c r="F376" s="104"/>
      <c r="G376" s="69"/>
      <c r="H376" s="69"/>
      <c r="I376" s="69"/>
      <c r="J376" s="69"/>
      <c r="K376" s="69"/>
      <c r="L376" s="69"/>
      <c r="M376" s="69"/>
      <c r="N376" s="69"/>
      <c r="O376" s="69"/>
      <c r="P376" s="69"/>
      <c r="Q376" s="69"/>
      <c r="R376" s="69"/>
    </row>
    <row r="377" spans="2:18" ht="15.75" hidden="1" customHeight="1">
      <c r="B377" s="98"/>
      <c r="C377" s="99"/>
      <c r="D377" s="100"/>
      <c r="E377" s="100"/>
      <c r="F377" s="100"/>
      <c r="G377" s="69"/>
      <c r="H377" s="69"/>
      <c r="I377" s="69"/>
      <c r="J377" s="69"/>
      <c r="K377" s="69"/>
      <c r="L377" s="69"/>
      <c r="M377" s="69"/>
      <c r="N377" s="69"/>
      <c r="O377" s="69"/>
      <c r="P377" s="69"/>
      <c r="Q377" s="69"/>
      <c r="R377" s="69"/>
    </row>
    <row r="378" spans="2:18" ht="15.75" hidden="1" customHeight="1">
      <c r="B378" s="102"/>
      <c r="C378" s="103"/>
      <c r="D378" s="104"/>
      <c r="E378" s="104"/>
      <c r="F378" s="104"/>
      <c r="G378" s="69"/>
      <c r="H378" s="69"/>
      <c r="I378" s="69"/>
      <c r="J378" s="69"/>
      <c r="K378" s="69"/>
      <c r="L378" s="69"/>
      <c r="M378" s="69"/>
      <c r="N378" s="69"/>
      <c r="O378" s="69"/>
      <c r="P378" s="69"/>
      <c r="Q378" s="69"/>
      <c r="R378" s="69"/>
    </row>
    <row r="379" spans="2:18" ht="15.75" hidden="1" customHeight="1">
      <c r="B379" s="98"/>
      <c r="C379" s="99"/>
      <c r="D379" s="100"/>
      <c r="E379" s="100"/>
      <c r="F379" s="100"/>
      <c r="G379" s="69"/>
      <c r="H379" s="69"/>
      <c r="I379" s="69"/>
      <c r="J379" s="69"/>
      <c r="K379" s="69"/>
      <c r="L379" s="69"/>
      <c r="M379" s="69"/>
      <c r="N379" s="69"/>
      <c r="O379" s="69"/>
      <c r="P379" s="69"/>
      <c r="Q379" s="69"/>
      <c r="R379" s="69"/>
    </row>
    <row r="380" spans="2:18" ht="15.75" hidden="1" customHeight="1">
      <c r="B380" s="102"/>
      <c r="C380" s="103"/>
      <c r="D380" s="104"/>
      <c r="E380" s="104"/>
      <c r="F380" s="104"/>
      <c r="G380" s="69"/>
      <c r="H380" s="69"/>
      <c r="I380" s="69"/>
      <c r="J380" s="69"/>
      <c r="K380" s="69"/>
      <c r="L380" s="69"/>
      <c r="M380" s="69"/>
      <c r="N380" s="69"/>
      <c r="O380" s="69"/>
      <c r="P380" s="69"/>
      <c r="Q380" s="69"/>
      <c r="R380" s="69"/>
    </row>
    <row r="381" spans="2:18" ht="15.75" hidden="1" customHeight="1">
      <c r="B381" s="98"/>
      <c r="C381" s="99"/>
      <c r="D381" s="100"/>
      <c r="E381" s="100"/>
      <c r="F381" s="100"/>
      <c r="G381" s="69"/>
      <c r="H381" s="69"/>
      <c r="I381" s="69"/>
      <c r="J381" s="69"/>
      <c r="K381" s="69"/>
      <c r="L381" s="69"/>
      <c r="M381" s="69"/>
      <c r="N381" s="69"/>
      <c r="O381" s="69"/>
      <c r="P381" s="69"/>
      <c r="Q381" s="69"/>
      <c r="R381" s="69"/>
    </row>
    <row r="382" spans="2:18" ht="15.75" hidden="1" customHeight="1">
      <c r="B382" s="102"/>
      <c r="C382" s="103"/>
      <c r="D382" s="104"/>
      <c r="E382" s="104"/>
      <c r="F382" s="104"/>
      <c r="G382" s="69"/>
      <c r="H382" s="69"/>
      <c r="I382" s="69"/>
      <c r="J382" s="69"/>
      <c r="K382" s="69"/>
      <c r="L382" s="69"/>
      <c r="M382" s="69"/>
      <c r="N382" s="69"/>
      <c r="O382" s="69"/>
      <c r="P382" s="69"/>
      <c r="Q382" s="69"/>
      <c r="R382" s="69"/>
    </row>
    <row r="383" spans="2:18" ht="15.75" hidden="1" customHeight="1">
      <c r="B383" s="98"/>
      <c r="C383" s="99"/>
      <c r="D383" s="100"/>
      <c r="E383" s="100"/>
      <c r="F383" s="100"/>
      <c r="G383" s="69"/>
      <c r="H383" s="69"/>
      <c r="I383" s="69"/>
      <c r="J383" s="69"/>
      <c r="K383" s="69"/>
      <c r="L383" s="69"/>
      <c r="M383" s="69"/>
      <c r="N383" s="69"/>
      <c r="O383" s="69"/>
      <c r="P383" s="69"/>
      <c r="Q383" s="69"/>
      <c r="R383" s="69"/>
    </row>
    <row r="384" spans="2:18" ht="15.75" hidden="1" customHeight="1">
      <c r="B384" s="102"/>
      <c r="C384" s="103"/>
      <c r="D384" s="104"/>
      <c r="E384" s="104"/>
      <c r="F384" s="104"/>
      <c r="G384" s="69"/>
      <c r="H384" s="69"/>
      <c r="I384" s="69"/>
      <c r="J384" s="69"/>
      <c r="K384" s="69"/>
      <c r="L384" s="69"/>
      <c r="M384" s="69"/>
      <c r="N384" s="69"/>
      <c r="O384" s="69"/>
      <c r="P384" s="69"/>
      <c r="Q384" s="69"/>
      <c r="R384" s="69"/>
    </row>
    <row r="385" spans="2:18" ht="15.75" hidden="1" customHeight="1">
      <c r="B385" s="98"/>
      <c r="C385" s="99"/>
      <c r="D385" s="100"/>
      <c r="E385" s="100"/>
      <c r="F385" s="100"/>
      <c r="G385" s="69"/>
      <c r="H385" s="69"/>
      <c r="I385" s="69"/>
      <c r="J385" s="69"/>
      <c r="K385" s="69"/>
      <c r="L385" s="69"/>
      <c r="M385" s="69"/>
      <c r="N385" s="69"/>
      <c r="O385" s="69"/>
      <c r="P385" s="69"/>
      <c r="Q385" s="69"/>
      <c r="R385" s="69"/>
    </row>
    <row r="386" spans="2:18" ht="15.75" hidden="1" customHeight="1">
      <c r="B386" s="102"/>
      <c r="C386" s="103"/>
      <c r="D386" s="104"/>
      <c r="E386" s="104"/>
      <c r="F386" s="104"/>
      <c r="G386" s="69"/>
      <c r="H386" s="69"/>
      <c r="I386" s="69"/>
      <c r="J386" s="69"/>
      <c r="K386" s="69"/>
      <c r="L386" s="69"/>
      <c r="M386" s="69"/>
      <c r="N386" s="69"/>
      <c r="O386" s="69"/>
      <c r="P386" s="69"/>
      <c r="Q386" s="69"/>
      <c r="R386" s="69"/>
    </row>
    <row r="387" spans="2:18" ht="15.75" hidden="1" customHeight="1">
      <c r="B387" s="98"/>
      <c r="C387" s="99"/>
      <c r="D387" s="100"/>
      <c r="E387" s="100"/>
      <c r="F387" s="100"/>
      <c r="G387" s="69"/>
      <c r="H387" s="69"/>
      <c r="I387" s="69"/>
      <c r="J387" s="69"/>
      <c r="K387" s="69"/>
      <c r="L387" s="69"/>
      <c r="M387" s="69"/>
      <c r="N387" s="69"/>
      <c r="O387" s="69"/>
      <c r="P387" s="69"/>
      <c r="Q387" s="69"/>
      <c r="R387" s="69"/>
    </row>
    <row r="388" spans="2:18" ht="15.75" hidden="1" customHeight="1">
      <c r="B388" s="102"/>
      <c r="C388" s="103"/>
      <c r="D388" s="104"/>
      <c r="E388" s="104"/>
      <c r="F388" s="104"/>
      <c r="G388" s="69"/>
      <c r="H388" s="69"/>
      <c r="I388" s="69"/>
      <c r="J388" s="69"/>
      <c r="K388" s="69"/>
      <c r="L388" s="69"/>
      <c r="M388" s="69"/>
      <c r="N388" s="69"/>
      <c r="O388" s="69"/>
      <c r="P388" s="69"/>
      <c r="Q388" s="69"/>
      <c r="R388" s="69"/>
    </row>
    <row r="389" spans="2:18" ht="15.75" hidden="1" customHeight="1">
      <c r="B389" s="98"/>
      <c r="C389" s="99"/>
      <c r="D389" s="100"/>
      <c r="E389" s="100"/>
      <c r="F389" s="100"/>
      <c r="G389" s="69"/>
      <c r="H389" s="69"/>
      <c r="I389" s="69"/>
      <c r="J389" s="69"/>
      <c r="K389" s="69"/>
      <c r="L389" s="69"/>
      <c r="M389" s="69"/>
      <c r="N389" s="69"/>
      <c r="O389" s="69"/>
      <c r="P389" s="69"/>
      <c r="Q389" s="69"/>
      <c r="R389" s="69"/>
    </row>
    <row r="390" spans="2:18" ht="15.75" hidden="1" customHeight="1">
      <c r="B390" s="102"/>
      <c r="C390" s="103"/>
      <c r="D390" s="104"/>
      <c r="E390" s="104"/>
      <c r="F390" s="104"/>
      <c r="G390" s="69"/>
      <c r="H390" s="69"/>
      <c r="I390" s="69"/>
      <c r="J390" s="69"/>
      <c r="K390" s="69"/>
      <c r="L390" s="69"/>
      <c r="M390" s="69"/>
      <c r="N390" s="69"/>
      <c r="O390" s="69"/>
      <c r="P390" s="69"/>
      <c r="Q390" s="69"/>
      <c r="R390" s="69"/>
    </row>
    <row r="391" spans="2:18" ht="15.75" hidden="1" customHeight="1">
      <c r="B391" s="98"/>
      <c r="C391" s="99"/>
      <c r="D391" s="100"/>
      <c r="E391" s="100"/>
      <c r="F391" s="100"/>
      <c r="G391" s="69"/>
      <c r="H391" s="69"/>
      <c r="I391" s="69"/>
      <c r="J391" s="69"/>
      <c r="K391" s="69"/>
      <c r="L391" s="69"/>
      <c r="M391" s="69"/>
      <c r="N391" s="69"/>
      <c r="O391" s="69"/>
      <c r="P391" s="69"/>
      <c r="Q391" s="69"/>
      <c r="R391" s="69"/>
    </row>
    <row r="392" spans="2:18" ht="15.75" hidden="1" customHeight="1">
      <c r="B392" s="102"/>
      <c r="C392" s="103"/>
      <c r="D392" s="104"/>
      <c r="E392" s="104"/>
      <c r="F392" s="104"/>
      <c r="G392" s="69"/>
      <c r="H392" s="69"/>
      <c r="I392" s="69"/>
      <c r="J392" s="69"/>
      <c r="K392" s="69"/>
      <c r="L392" s="69"/>
      <c r="M392" s="69"/>
      <c r="N392" s="69"/>
      <c r="O392" s="69"/>
      <c r="P392" s="69"/>
      <c r="Q392" s="69"/>
      <c r="R392" s="69"/>
    </row>
    <row r="393" spans="2:18" ht="15.75" hidden="1" customHeight="1">
      <c r="B393" s="98"/>
      <c r="C393" s="99"/>
      <c r="D393" s="100"/>
      <c r="E393" s="100"/>
      <c r="F393" s="100"/>
      <c r="G393" s="69"/>
      <c r="H393" s="69"/>
      <c r="I393" s="69"/>
      <c r="J393" s="69"/>
      <c r="K393" s="69"/>
      <c r="L393" s="69"/>
      <c r="M393" s="69"/>
      <c r="N393" s="69"/>
      <c r="O393" s="69"/>
      <c r="P393" s="69"/>
      <c r="Q393" s="69"/>
      <c r="R393" s="69"/>
    </row>
    <row r="394" spans="2:18" ht="15.75" hidden="1" customHeight="1">
      <c r="B394" s="102"/>
      <c r="C394" s="103"/>
      <c r="D394" s="104"/>
      <c r="E394" s="104"/>
      <c r="F394" s="104"/>
      <c r="G394" s="69"/>
      <c r="H394" s="69"/>
      <c r="I394" s="69"/>
      <c r="J394" s="69"/>
      <c r="K394" s="69"/>
      <c r="L394" s="69"/>
      <c r="M394" s="69"/>
      <c r="N394" s="69"/>
      <c r="O394" s="69"/>
      <c r="P394" s="69"/>
      <c r="Q394" s="69"/>
      <c r="R394" s="69"/>
    </row>
    <row r="395" spans="2:18" ht="15.75" hidden="1" customHeight="1">
      <c r="B395" s="98"/>
      <c r="C395" s="99"/>
      <c r="D395" s="100"/>
      <c r="E395" s="100"/>
      <c r="F395" s="100"/>
      <c r="G395" s="69"/>
      <c r="H395" s="69"/>
      <c r="I395" s="69"/>
      <c r="J395" s="69"/>
      <c r="K395" s="69"/>
      <c r="L395" s="69"/>
      <c r="M395" s="69"/>
      <c r="N395" s="69"/>
      <c r="O395" s="69"/>
      <c r="P395" s="69"/>
      <c r="Q395" s="69"/>
      <c r="R395" s="69"/>
    </row>
    <row r="396" spans="2:18" ht="15.75" hidden="1" customHeight="1">
      <c r="B396" s="102"/>
      <c r="C396" s="103"/>
      <c r="D396" s="104"/>
      <c r="E396" s="104"/>
      <c r="F396" s="104"/>
      <c r="G396" s="69"/>
      <c r="H396" s="69"/>
      <c r="I396" s="69"/>
      <c r="J396" s="69"/>
      <c r="K396" s="69"/>
      <c r="L396" s="69"/>
      <c r="M396" s="69"/>
      <c r="N396" s="69"/>
      <c r="O396" s="69"/>
      <c r="P396" s="69"/>
      <c r="Q396" s="69"/>
      <c r="R396" s="69"/>
    </row>
    <row r="397" spans="2:18" ht="15.75" hidden="1" customHeight="1">
      <c r="B397" s="98"/>
      <c r="C397" s="99"/>
      <c r="D397" s="100"/>
      <c r="E397" s="100"/>
      <c r="F397" s="100"/>
      <c r="G397" s="69"/>
      <c r="H397" s="69"/>
      <c r="I397" s="69"/>
      <c r="J397" s="69"/>
      <c r="K397" s="69"/>
      <c r="L397" s="69"/>
      <c r="M397" s="69"/>
      <c r="N397" s="69"/>
      <c r="O397" s="69"/>
      <c r="P397" s="69"/>
      <c r="Q397" s="69"/>
      <c r="R397" s="69"/>
    </row>
    <row r="398" spans="2:18" ht="15.75" hidden="1" customHeight="1">
      <c r="B398" s="102"/>
      <c r="C398" s="103"/>
      <c r="D398" s="104"/>
      <c r="E398" s="104"/>
      <c r="F398" s="104"/>
      <c r="G398" s="69"/>
      <c r="H398" s="69"/>
      <c r="I398" s="69"/>
      <c r="J398" s="69"/>
      <c r="K398" s="69"/>
      <c r="L398" s="69"/>
      <c r="M398" s="69"/>
      <c r="N398" s="69"/>
      <c r="O398" s="69"/>
      <c r="P398" s="69"/>
      <c r="Q398" s="69"/>
      <c r="R398" s="69"/>
    </row>
    <row r="399" spans="2:18" ht="15.75" hidden="1" customHeight="1">
      <c r="B399" s="98"/>
      <c r="C399" s="99"/>
      <c r="D399" s="100"/>
      <c r="E399" s="100"/>
      <c r="F399" s="100"/>
      <c r="G399" s="69"/>
      <c r="H399" s="69"/>
      <c r="I399" s="69"/>
      <c r="J399" s="69"/>
      <c r="K399" s="69"/>
      <c r="L399" s="69"/>
      <c r="M399" s="69"/>
      <c r="N399" s="69"/>
      <c r="O399" s="69"/>
      <c r="P399" s="69"/>
      <c r="Q399" s="69"/>
      <c r="R399" s="69"/>
    </row>
    <row r="400" spans="2:18" ht="15.75" hidden="1" customHeight="1">
      <c r="B400" s="102"/>
      <c r="C400" s="103"/>
      <c r="D400" s="104"/>
      <c r="E400" s="104"/>
      <c r="F400" s="104"/>
      <c r="G400" s="69"/>
      <c r="H400" s="69"/>
      <c r="I400" s="69"/>
      <c r="J400" s="69"/>
      <c r="K400" s="69"/>
      <c r="L400" s="69"/>
      <c r="M400" s="69"/>
      <c r="N400" s="69"/>
      <c r="O400" s="69"/>
      <c r="P400" s="69"/>
      <c r="Q400" s="69"/>
      <c r="R400" s="69"/>
    </row>
    <row r="401" spans="2:18" ht="15.75" hidden="1" customHeight="1">
      <c r="B401" s="98"/>
      <c r="C401" s="99"/>
      <c r="D401" s="100"/>
      <c r="E401" s="100"/>
      <c r="F401" s="100"/>
      <c r="G401" s="69"/>
      <c r="H401" s="69"/>
      <c r="I401" s="69"/>
      <c r="J401" s="69"/>
      <c r="K401" s="69"/>
      <c r="L401" s="69"/>
      <c r="M401" s="69"/>
      <c r="N401" s="69"/>
      <c r="O401" s="69"/>
      <c r="P401" s="69"/>
      <c r="Q401" s="69"/>
      <c r="R401" s="69"/>
    </row>
    <row r="402" spans="2:18" ht="15.75" hidden="1" customHeight="1">
      <c r="B402" s="102"/>
      <c r="C402" s="103"/>
      <c r="D402" s="104"/>
      <c r="E402" s="104"/>
      <c r="F402" s="104"/>
      <c r="G402" s="69"/>
      <c r="H402" s="69"/>
      <c r="I402" s="69"/>
      <c r="J402" s="69"/>
      <c r="K402" s="69"/>
      <c r="L402" s="69"/>
      <c r="M402" s="69"/>
      <c r="N402" s="69"/>
      <c r="O402" s="69"/>
      <c r="P402" s="69"/>
      <c r="Q402" s="69"/>
      <c r="R402" s="69"/>
    </row>
    <row r="403" spans="2:18" ht="15.75" hidden="1" customHeight="1">
      <c r="B403" s="98"/>
      <c r="C403" s="99"/>
      <c r="D403" s="100"/>
      <c r="E403" s="100"/>
      <c r="F403" s="100"/>
      <c r="G403" s="69"/>
      <c r="H403" s="69"/>
      <c r="I403" s="69"/>
      <c r="J403" s="69"/>
      <c r="K403" s="69"/>
      <c r="L403" s="69"/>
      <c r="M403" s="69"/>
      <c r="N403" s="69"/>
      <c r="O403" s="69"/>
      <c r="P403" s="69"/>
      <c r="Q403" s="69"/>
      <c r="R403" s="69"/>
    </row>
    <row r="404" spans="2:18" ht="15.75" hidden="1" customHeight="1">
      <c r="B404" s="102"/>
      <c r="C404" s="103"/>
      <c r="D404" s="104"/>
      <c r="E404" s="104"/>
      <c r="F404" s="104"/>
      <c r="G404" s="69"/>
      <c r="H404" s="69"/>
      <c r="I404" s="69"/>
      <c r="J404" s="69"/>
      <c r="K404" s="69"/>
      <c r="L404" s="69"/>
      <c r="M404" s="69"/>
      <c r="N404" s="69"/>
      <c r="O404" s="69"/>
      <c r="P404" s="69"/>
      <c r="Q404" s="69"/>
      <c r="R404" s="69"/>
    </row>
    <row r="405" spans="2:18" ht="15.75" hidden="1" customHeight="1">
      <c r="B405" s="98"/>
      <c r="C405" s="99"/>
      <c r="D405" s="100"/>
      <c r="E405" s="100"/>
      <c r="F405" s="100"/>
      <c r="G405" s="69"/>
      <c r="H405" s="69"/>
      <c r="I405" s="69"/>
      <c r="J405" s="69"/>
      <c r="K405" s="69"/>
      <c r="L405" s="69"/>
      <c r="M405" s="69"/>
      <c r="N405" s="69"/>
      <c r="O405" s="69"/>
      <c r="P405" s="69"/>
      <c r="Q405" s="69"/>
      <c r="R405" s="69"/>
    </row>
    <row r="406" spans="2:18" ht="15.75" hidden="1" customHeight="1">
      <c r="B406" s="102"/>
      <c r="C406" s="103"/>
      <c r="D406" s="104"/>
      <c r="E406" s="104"/>
      <c r="F406" s="104"/>
      <c r="G406" s="69"/>
      <c r="H406" s="69"/>
      <c r="I406" s="69"/>
      <c r="J406" s="69"/>
      <c r="K406" s="69"/>
      <c r="L406" s="69"/>
      <c r="M406" s="69"/>
      <c r="N406" s="69"/>
      <c r="O406" s="69"/>
      <c r="P406" s="69"/>
      <c r="Q406" s="69"/>
      <c r="R406" s="69"/>
    </row>
    <row r="407" spans="2:18" ht="15.75" hidden="1" customHeight="1">
      <c r="B407" s="98"/>
      <c r="C407" s="99"/>
      <c r="D407" s="100"/>
      <c r="E407" s="100"/>
      <c r="F407" s="100"/>
      <c r="G407" s="69"/>
      <c r="H407" s="69"/>
      <c r="I407" s="69"/>
      <c r="J407" s="69"/>
      <c r="K407" s="69"/>
      <c r="L407" s="69"/>
      <c r="M407" s="69"/>
      <c r="N407" s="69"/>
      <c r="O407" s="69"/>
      <c r="P407" s="69"/>
      <c r="Q407" s="69"/>
      <c r="R407" s="69"/>
    </row>
    <row r="408" spans="2:18" ht="15.75" hidden="1" customHeight="1">
      <c r="B408" s="102"/>
      <c r="C408" s="103"/>
      <c r="D408" s="104"/>
      <c r="E408" s="104"/>
      <c r="F408" s="104"/>
      <c r="G408" s="69"/>
      <c r="H408" s="69"/>
      <c r="I408" s="69"/>
      <c r="J408" s="69"/>
      <c r="K408" s="69"/>
      <c r="L408" s="69"/>
      <c r="M408" s="69"/>
      <c r="N408" s="69"/>
      <c r="O408" s="69"/>
      <c r="P408" s="69"/>
      <c r="Q408" s="69"/>
      <c r="R408" s="69"/>
    </row>
    <row r="409" spans="2:18" ht="15.75" hidden="1" customHeight="1">
      <c r="B409" s="98"/>
      <c r="C409" s="99"/>
      <c r="D409" s="100"/>
      <c r="E409" s="100"/>
      <c r="F409" s="100"/>
      <c r="G409" s="69"/>
      <c r="H409" s="69"/>
      <c r="I409" s="69"/>
      <c r="J409" s="69"/>
      <c r="K409" s="69"/>
      <c r="L409" s="69"/>
      <c r="M409" s="69"/>
      <c r="N409" s="69"/>
      <c r="O409" s="69"/>
      <c r="P409" s="69"/>
      <c r="Q409" s="69"/>
      <c r="R409" s="69"/>
    </row>
    <row r="410" spans="2:18" ht="15.75" hidden="1" customHeight="1">
      <c r="B410" s="102"/>
      <c r="C410" s="103"/>
      <c r="D410" s="104"/>
      <c r="E410" s="104"/>
      <c r="F410" s="104"/>
      <c r="G410" s="69"/>
      <c r="H410" s="69"/>
      <c r="I410" s="69"/>
      <c r="J410" s="69"/>
      <c r="K410" s="69"/>
      <c r="L410" s="69"/>
      <c r="M410" s="69"/>
      <c r="N410" s="69"/>
      <c r="O410" s="69"/>
      <c r="P410" s="69"/>
      <c r="Q410" s="69"/>
      <c r="R410" s="69"/>
    </row>
    <row r="411" spans="2:18" ht="15.75" hidden="1" customHeight="1">
      <c r="B411" s="98"/>
      <c r="C411" s="99"/>
      <c r="D411" s="100"/>
      <c r="E411" s="100"/>
      <c r="F411" s="100"/>
      <c r="G411" s="69"/>
      <c r="H411" s="69"/>
      <c r="I411" s="69"/>
      <c r="J411" s="69"/>
      <c r="K411" s="69"/>
      <c r="L411" s="69"/>
      <c r="M411" s="69"/>
      <c r="N411" s="69"/>
      <c r="O411" s="69"/>
      <c r="P411" s="69"/>
      <c r="Q411" s="69"/>
      <c r="R411" s="69"/>
    </row>
    <row r="412" spans="2:18" ht="15.75" hidden="1" customHeight="1">
      <c r="B412" s="102"/>
      <c r="C412" s="103"/>
      <c r="D412" s="104"/>
      <c r="E412" s="104"/>
      <c r="F412" s="104"/>
      <c r="G412" s="69"/>
      <c r="H412" s="69"/>
      <c r="I412" s="69"/>
      <c r="J412" s="69"/>
      <c r="K412" s="69"/>
      <c r="L412" s="69"/>
      <c r="M412" s="69"/>
      <c r="N412" s="69"/>
      <c r="O412" s="69"/>
      <c r="P412" s="69"/>
      <c r="Q412" s="69"/>
      <c r="R412" s="69"/>
    </row>
    <row r="413" spans="2:18" ht="15.75" hidden="1" customHeight="1">
      <c r="B413" s="98"/>
      <c r="C413" s="99"/>
      <c r="D413" s="100"/>
      <c r="E413" s="100"/>
      <c r="F413" s="100"/>
      <c r="G413" s="69"/>
      <c r="H413" s="69"/>
      <c r="I413" s="69"/>
      <c r="J413" s="69"/>
      <c r="K413" s="69"/>
      <c r="L413" s="69"/>
      <c r="M413" s="69"/>
      <c r="N413" s="69"/>
      <c r="O413" s="69"/>
      <c r="P413" s="69"/>
      <c r="Q413" s="69"/>
      <c r="R413" s="69"/>
    </row>
    <row r="414" spans="2:18" ht="15.75" hidden="1" customHeight="1">
      <c r="B414" s="102"/>
      <c r="C414" s="103"/>
      <c r="D414" s="104"/>
      <c r="E414" s="104"/>
      <c r="F414" s="104"/>
      <c r="G414" s="69"/>
      <c r="H414" s="69"/>
      <c r="I414" s="69"/>
      <c r="J414" s="69"/>
      <c r="K414" s="69"/>
      <c r="L414" s="69"/>
      <c r="M414" s="69"/>
      <c r="N414" s="69"/>
      <c r="O414" s="69"/>
      <c r="P414" s="69"/>
      <c r="Q414" s="69"/>
      <c r="R414" s="69"/>
    </row>
    <row r="415" spans="2:18" ht="15.75" hidden="1" customHeight="1">
      <c r="B415" s="98"/>
      <c r="C415" s="99"/>
      <c r="D415" s="100"/>
      <c r="E415" s="100"/>
      <c r="F415" s="100"/>
      <c r="G415" s="69"/>
      <c r="H415" s="69"/>
      <c r="I415" s="69"/>
      <c r="J415" s="69"/>
      <c r="K415" s="69"/>
      <c r="L415" s="69"/>
      <c r="M415" s="69"/>
      <c r="N415" s="69"/>
      <c r="O415" s="69"/>
      <c r="P415" s="69"/>
      <c r="Q415" s="69"/>
      <c r="R415" s="69"/>
    </row>
    <row r="416" spans="2:18" ht="15.75" hidden="1" customHeight="1">
      <c r="B416" s="102"/>
      <c r="C416" s="103"/>
      <c r="D416" s="104"/>
      <c r="E416" s="104"/>
      <c r="F416" s="104"/>
      <c r="G416" s="69"/>
      <c r="H416" s="69"/>
      <c r="I416" s="69"/>
      <c r="J416" s="69"/>
      <c r="K416" s="69"/>
      <c r="L416" s="69"/>
      <c r="M416" s="69"/>
      <c r="N416" s="69"/>
      <c r="O416" s="69"/>
      <c r="P416" s="69"/>
      <c r="Q416" s="69"/>
      <c r="R416" s="69"/>
    </row>
    <row r="417" spans="2:18" ht="15.75" hidden="1" customHeight="1">
      <c r="B417" s="98"/>
      <c r="C417" s="99"/>
      <c r="D417" s="100"/>
      <c r="E417" s="100"/>
      <c r="F417" s="100"/>
      <c r="G417" s="69"/>
      <c r="H417" s="69"/>
      <c r="I417" s="69"/>
      <c r="J417" s="69"/>
      <c r="K417" s="69"/>
      <c r="L417" s="69"/>
      <c r="M417" s="69"/>
      <c r="N417" s="69"/>
      <c r="O417" s="69"/>
      <c r="P417" s="69"/>
      <c r="Q417" s="69"/>
      <c r="R417" s="69"/>
    </row>
    <row r="418" spans="2:18" ht="15.75" hidden="1" customHeight="1">
      <c r="B418" s="102"/>
      <c r="C418" s="103"/>
      <c r="D418" s="104"/>
      <c r="E418" s="104"/>
      <c r="F418" s="104"/>
      <c r="G418" s="69"/>
      <c r="H418" s="69"/>
      <c r="I418" s="69"/>
      <c r="J418" s="69"/>
      <c r="K418" s="69"/>
      <c r="L418" s="69"/>
      <c r="M418" s="69"/>
      <c r="N418" s="69"/>
      <c r="O418" s="69"/>
      <c r="P418" s="69"/>
      <c r="Q418" s="69"/>
      <c r="R418" s="69"/>
    </row>
    <row r="419" spans="2:18" ht="15.75" hidden="1" customHeight="1">
      <c r="B419" s="98"/>
      <c r="C419" s="99"/>
      <c r="D419" s="100"/>
      <c r="E419" s="100"/>
      <c r="F419" s="100"/>
      <c r="G419" s="69"/>
      <c r="H419" s="69"/>
      <c r="I419" s="69"/>
      <c r="J419" s="69"/>
      <c r="K419" s="69"/>
      <c r="L419" s="69"/>
      <c r="M419" s="69"/>
      <c r="N419" s="69"/>
      <c r="O419" s="69"/>
      <c r="P419" s="69"/>
      <c r="Q419" s="69"/>
      <c r="R419" s="69"/>
    </row>
    <row r="420" spans="2:18" ht="15.75" hidden="1" customHeight="1">
      <c r="B420" s="102"/>
      <c r="C420" s="103"/>
      <c r="D420" s="104"/>
      <c r="E420" s="104"/>
      <c r="F420" s="104"/>
      <c r="G420" s="69"/>
      <c r="H420" s="69"/>
      <c r="I420" s="69"/>
      <c r="J420" s="69"/>
      <c r="K420" s="69"/>
      <c r="L420" s="69"/>
      <c r="M420" s="69"/>
      <c r="N420" s="69"/>
      <c r="O420" s="69"/>
      <c r="P420" s="69"/>
      <c r="Q420" s="69"/>
      <c r="R420" s="69"/>
    </row>
    <row r="421" spans="2:18" ht="15.75" hidden="1" customHeight="1">
      <c r="B421" s="98"/>
      <c r="C421" s="99"/>
      <c r="D421" s="100"/>
      <c r="E421" s="100"/>
      <c r="F421" s="100"/>
      <c r="G421" s="69"/>
      <c r="H421" s="69"/>
      <c r="I421" s="69"/>
      <c r="J421" s="69"/>
      <c r="K421" s="69"/>
      <c r="L421" s="69"/>
      <c r="M421" s="69"/>
      <c r="N421" s="69"/>
      <c r="O421" s="69"/>
      <c r="P421" s="69"/>
      <c r="Q421" s="69"/>
      <c r="R421" s="69"/>
    </row>
    <row r="422" spans="2:18" ht="15.75" hidden="1" customHeight="1">
      <c r="B422" s="102"/>
      <c r="C422" s="103"/>
      <c r="D422" s="104"/>
      <c r="E422" s="104"/>
      <c r="F422" s="104"/>
      <c r="G422" s="69"/>
      <c r="H422" s="69"/>
      <c r="I422" s="69"/>
      <c r="J422" s="69"/>
      <c r="K422" s="69"/>
      <c r="L422" s="69"/>
      <c r="M422" s="69"/>
      <c r="N422" s="69"/>
      <c r="O422" s="69"/>
      <c r="P422" s="69"/>
      <c r="Q422" s="69"/>
      <c r="R422" s="69"/>
    </row>
    <row r="423" spans="2:18" ht="15.75" hidden="1" customHeight="1">
      <c r="B423" s="98"/>
      <c r="C423" s="99"/>
      <c r="D423" s="100"/>
      <c r="E423" s="100"/>
      <c r="F423" s="100"/>
      <c r="G423" s="69"/>
      <c r="H423" s="69"/>
      <c r="I423" s="69"/>
      <c r="J423" s="69"/>
      <c r="K423" s="69"/>
      <c r="L423" s="69"/>
      <c r="M423" s="69"/>
      <c r="N423" s="69"/>
      <c r="O423" s="69"/>
      <c r="P423" s="69"/>
      <c r="Q423" s="69"/>
      <c r="R423" s="69"/>
    </row>
    <row r="424" spans="2:18" ht="15.75" hidden="1" customHeight="1">
      <c r="B424" s="102"/>
      <c r="C424" s="103"/>
      <c r="D424" s="104"/>
      <c r="E424" s="104"/>
      <c r="F424" s="104"/>
      <c r="G424" s="69"/>
      <c r="H424" s="69"/>
      <c r="I424" s="69"/>
      <c r="J424" s="69"/>
      <c r="K424" s="69"/>
      <c r="L424" s="69"/>
      <c r="M424" s="69"/>
      <c r="N424" s="69"/>
      <c r="O424" s="69"/>
      <c r="P424" s="69"/>
      <c r="Q424" s="69"/>
      <c r="R424" s="69"/>
    </row>
    <row r="425" spans="2:18" ht="15.75" hidden="1" customHeight="1">
      <c r="B425" s="98"/>
      <c r="C425" s="99"/>
      <c r="D425" s="100"/>
      <c r="E425" s="100"/>
      <c r="F425" s="100"/>
      <c r="G425" s="69"/>
      <c r="H425" s="69"/>
      <c r="I425" s="69"/>
      <c r="J425" s="69"/>
      <c r="K425" s="69"/>
      <c r="L425" s="69"/>
      <c r="M425" s="69"/>
      <c r="N425" s="69"/>
      <c r="O425" s="69"/>
      <c r="P425" s="69"/>
      <c r="Q425" s="69"/>
      <c r="R425" s="69"/>
    </row>
    <row r="426" spans="2:18" ht="15.75" hidden="1" customHeight="1">
      <c r="B426" s="102"/>
      <c r="C426" s="103"/>
      <c r="D426" s="104"/>
      <c r="E426" s="104"/>
      <c r="F426" s="104"/>
      <c r="G426" s="69"/>
      <c r="H426" s="69"/>
      <c r="I426" s="69"/>
      <c r="J426" s="69"/>
      <c r="K426" s="69"/>
      <c r="L426" s="69"/>
      <c r="M426" s="69"/>
      <c r="N426" s="69"/>
      <c r="O426" s="69"/>
      <c r="P426" s="69"/>
      <c r="Q426" s="69"/>
      <c r="R426" s="69"/>
    </row>
    <row r="427" spans="2:18" ht="15.75" hidden="1" customHeight="1">
      <c r="B427" s="98"/>
      <c r="C427" s="99"/>
      <c r="D427" s="100"/>
      <c r="E427" s="100"/>
      <c r="F427" s="100"/>
      <c r="G427" s="69"/>
      <c r="H427" s="69"/>
      <c r="I427" s="69"/>
      <c r="J427" s="69"/>
      <c r="K427" s="69"/>
      <c r="L427" s="69"/>
      <c r="M427" s="69"/>
      <c r="N427" s="69"/>
      <c r="O427" s="69"/>
      <c r="P427" s="69"/>
      <c r="Q427" s="69"/>
      <c r="R427" s="69"/>
    </row>
    <row r="428" spans="2:18" ht="15.75" hidden="1" customHeight="1">
      <c r="B428" s="102"/>
      <c r="C428" s="103"/>
      <c r="D428" s="104"/>
      <c r="E428" s="104"/>
      <c r="F428" s="104"/>
      <c r="G428" s="69"/>
      <c r="H428" s="69"/>
      <c r="I428" s="69"/>
      <c r="J428" s="69"/>
      <c r="K428" s="69"/>
      <c r="L428" s="69"/>
      <c r="M428" s="69"/>
      <c r="N428" s="69"/>
      <c r="O428" s="69"/>
      <c r="P428" s="69"/>
      <c r="Q428" s="69"/>
      <c r="R428" s="69"/>
    </row>
    <row r="429" spans="2:18" ht="15.75" hidden="1" customHeight="1">
      <c r="B429" s="98"/>
      <c r="C429" s="99"/>
      <c r="D429" s="100"/>
      <c r="E429" s="100"/>
      <c r="F429" s="100"/>
      <c r="G429" s="69"/>
      <c r="H429" s="69"/>
      <c r="I429" s="69"/>
      <c r="J429" s="69"/>
      <c r="K429" s="69"/>
      <c r="L429" s="69"/>
      <c r="M429" s="69"/>
      <c r="N429" s="69"/>
      <c r="O429" s="69"/>
      <c r="P429" s="69"/>
      <c r="Q429" s="69"/>
      <c r="R429" s="69"/>
    </row>
    <row r="430" spans="2:18" ht="15.75" hidden="1" customHeight="1">
      <c r="B430" s="102"/>
      <c r="C430" s="103"/>
      <c r="D430" s="104"/>
      <c r="E430" s="104"/>
      <c r="F430" s="104"/>
      <c r="G430" s="69"/>
      <c r="H430" s="69"/>
      <c r="I430" s="69"/>
      <c r="J430" s="69"/>
      <c r="K430" s="69"/>
      <c r="L430" s="69"/>
      <c r="M430" s="69"/>
      <c r="N430" s="69"/>
      <c r="O430" s="69"/>
      <c r="P430" s="69"/>
      <c r="Q430" s="69"/>
      <c r="R430" s="69"/>
    </row>
    <row r="431" spans="2:18" ht="15.75" hidden="1" customHeight="1">
      <c r="B431" s="98"/>
      <c r="C431" s="99"/>
      <c r="D431" s="100"/>
      <c r="E431" s="100"/>
      <c r="F431" s="100"/>
      <c r="G431" s="69"/>
      <c r="H431" s="69"/>
      <c r="I431" s="69"/>
      <c r="J431" s="69"/>
      <c r="K431" s="69"/>
      <c r="L431" s="69"/>
      <c r="M431" s="69"/>
      <c r="N431" s="69"/>
      <c r="O431" s="69"/>
      <c r="P431" s="69"/>
      <c r="Q431" s="69"/>
      <c r="R431" s="69"/>
    </row>
    <row r="432" spans="2:18" ht="15.75" hidden="1" customHeight="1">
      <c r="B432" s="102"/>
      <c r="C432" s="103"/>
      <c r="D432" s="104"/>
      <c r="E432" s="104"/>
      <c r="F432" s="104"/>
      <c r="G432" s="69"/>
      <c r="H432" s="69"/>
      <c r="I432" s="69"/>
      <c r="J432" s="69"/>
      <c r="K432" s="69"/>
      <c r="L432" s="69"/>
      <c r="M432" s="69"/>
      <c r="N432" s="69"/>
      <c r="O432" s="69"/>
      <c r="P432" s="69"/>
      <c r="Q432" s="69"/>
      <c r="R432" s="69"/>
    </row>
    <row r="433" spans="2:18" ht="15.75" hidden="1" customHeight="1">
      <c r="B433" s="98"/>
      <c r="C433" s="99"/>
      <c r="D433" s="100"/>
      <c r="E433" s="100"/>
      <c r="F433" s="100"/>
      <c r="G433" s="69"/>
      <c r="H433" s="69"/>
      <c r="I433" s="69"/>
      <c r="J433" s="69"/>
      <c r="K433" s="69"/>
      <c r="L433" s="69"/>
      <c r="M433" s="69"/>
      <c r="N433" s="69"/>
      <c r="O433" s="69"/>
      <c r="P433" s="69"/>
      <c r="Q433" s="69"/>
      <c r="R433" s="69"/>
    </row>
    <row r="434" spans="2:18" ht="15.75" hidden="1" customHeight="1">
      <c r="B434" s="102"/>
      <c r="C434" s="103"/>
      <c r="D434" s="104"/>
      <c r="E434" s="104"/>
      <c r="F434" s="104"/>
      <c r="G434" s="69"/>
      <c r="H434" s="69"/>
      <c r="I434" s="69"/>
      <c r="J434" s="69"/>
      <c r="K434" s="69"/>
      <c r="L434" s="69"/>
      <c r="M434" s="69"/>
      <c r="N434" s="69"/>
      <c r="O434" s="69"/>
      <c r="P434" s="69"/>
      <c r="Q434" s="69"/>
      <c r="R434" s="69"/>
    </row>
    <row r="435" spans="2:18" ht="15.75" hidden="1" customHeight="1">
      <c r="B435" s="98"/>
      <c r="C435" s="99"/>
      <c r="D435" s="100"/>
      <c r="E435" s="100"/>
      <c r="F435" s="100"/>
      <c r="G435" s="69"/>
      <c r="H435" s="69"/>
      <c r="I435" s="69"/>
      <c r="J435" s="69"/>
      <c r="K435" s="69"/>
      <c r="L435" s="69"/>
      <c r="M435" s="69"/>
      <c r="N435" s="69"/>
      <c r="O435" s="69"/>
      <c r="P435" s="69"/>
      <c r="Q435" s="69"/>
      <c r="R435" s="69"/>
    </row>
    <row r="436" spans="2:18" ht="15.75" hidden="1" customHeight="1">
      <c r="B436" s="102"/>
      <c r="C436" s="103"/>
      <c r="D436" s="104"/>
      <c r="E436" s="104"/>
      <c r="F436" s="104"/>
      <c r="G436" s="69"/>
      <c r="H436" s="69"/>
      <c r="I436" s="69"/>
      <c r="J436" s="69"/>
      <c r="K436" s="69"/>
      <c r="L436" s="69"/>
      <c r="M436" s="69"/>
      <c r="N436" s="69"/>
      <c r="O436" s="69"/>
      <c r="P436" s="69"/>
      <c r="Q436" s="69"/>
      <c r="R436" s="69"/>
    </row>
    <row r="437" spans="2:18" ht="15.75" hidden="1" customHeight="1">
      <c r="B437" s="98"/>
      <c r="C437" s="99"/>
      <c r="D437" s="100"/>
      <c r="E437" s="100"/>
      <c r="F437" s="100"/>
      <c r="G437" s="69"/>
      <c r="H437" s="69"/>
      <c r="I437" s="69"/>
      <c r="J437" s="69"/>
      <c r="K437" s="69"/>
      <c r="L437" s="69"/>
      <c r="M437" s="69"/>
      <c r="N437" s="69"/>
      <c r="O437" s="69"/>
      <c r="P437" s="69"/>
      <c r="Q437" s="69"/>
      <c r="R437" s="69"/>
    </row>
    <row r="438" spans="2:18" ht="15.75" hidden="1" customHeight="1">
      <c r="B438" s="102"/>
      <c r="C438" s="103"/>
      <c r="D438" s="104"/>
      <c r="E438" s="104"/>
      <c r="F438" s="104"/>
      <c r="G438" s="69"/>
      <c r="H438" s="69"/>
      <c r="I438" s="69"/>
      <c r="J438" s="69"/>
      <c r="K438" s="69"/>
      <c r="L438" s="69"/>
      <c r="M438" s="69"/>
      <c r="N438" s="69"/>
      <c r="O438" s="69"/>
      <c r="P438" s="69"/>
      <c r="Q438" s="69"/>
      <c r="R438" s="69"/>
    </row>
    <row r="439" spans="2:18" ht="15.75" hidden="1" customHeight="1">
      <c r="B439" s="98"/>
      <c r="C439" s="99"/>
      <c r="D439" s="100"/>
      <c r="E439" s="100"/>
      <c r="F439" s="100"/>
      <c r="G439" s="69"/>
      <c r="H439" s="69"/>
      <c r="I439" s="69"/>
      <c r="J439" s="69"/>
      <c r="K439" s="69"/>
      <c r="L439" s="69"/>
      <c r="M439" s="69"/>
      <c r="N439" s="69"/>
      <c r="O439" s="69"/>
      <c r="P439" s="69"/>
      <c r="Q439" s="69"/>
      <c r="R439" s="69"/>
    </row>
    <row r="440" spans="2:18" ht="15.75" hidden="1" customHeight="1">
      <c r="B440" s="102"/>
      <c r="C440" s="103"/>
      <c r="D440" s="104"/>
      <c r="E440" s="104"/>
      <c r="F440" s="104"/>
      <c r="G440" s="69"/>
      <c r="H440" s="69"/>
      <c r="I440" s="69"/>
      <c r="J440" s="69"/>
      <c r="K440" s="69"/>
      <c r="L440" s="69"/>
      <c r="M440" s="69"/>
      <c r="N440" s="69"/>
      <c r="O440" s="69"/>
      <c r="P440" s="69"/>
      <c r="Q440" s="69"/>
      <c r="R440" s="69"/>
    </row>
    <row r="441" spans="2:18" ht="15.75" hidden="1" customHeight="1">
      <c r="B441" s="98"/>
      <c r="C441" s="99"/>
      <c r="D441" s="100"/>
      <c r="E441" s="100"/>
      <c r="F441" s="100"/>
      <c r="G441" s="69"/>
      <c r="H441" s="69"/>
      <c r="I441" s="69"/>
      <c r="J441" s="69"/>
      <c r="K441" s="69"/>
      <c r="L441" s="69"/>
      <c r="M441" s="69"/>
      <c r="N441" s="69"/>
      <c r="O441" s="69"/>
      <c r="P441" s="69"/>
      <c r="Q441" s="69"/>
      <c r="R441" s="69"/>
    </row>
    <row r="442" spans="2:18" ht="15.75" hidden="1" customHeight="1">
      <c r="B442" s="102"/>
      <c r="C442" s="103"/>
      <c r="D442" s="104"/>
      <c r="E442" s="104"/>
      <c r="F442" s="104"/>
      <c r="G442" s="69"/>
      <c r="H442" s="69"/>
      <c r="I442" s="69"/>
      <c r="J442" s="69"/>
      <c r="K442" s="69"/>
      <c r="L442" s="69"/>
      <c r="M442" s="69"/>
      <c r="N442" s="69"/>
      <c r="O442" s="69"/>
      <c r="P442" s="69"/>
      <c r="Q442" s="69"/>
      <c r="R442" s="69"/>
    </row>
    <row r="443" spans="2:18" ht="15.75" hidden="1" customHeight="1">
      <c r="B443" s="98"/>
      <c r="C443" s="99"/>
      <c r="D443" s="100"/>
      <c r="E443" s="100"/>
      <c r="F443" s="100"/>
      <c r="G443" s="69"/>
      <c r="H443" s="69"/>
      <c r="I443" s="69"/>
      <c r="J443" s="69"/>
      <c r="K443" s="69"/>
      <c r="L443" s="69"/>
      <c r="M443" s="69"/>
      <c r="N443" s="69"/>
      <c r="O443" s="69"/>
      <c r="P443" s="69"/>
      <c r="Q443" s="69"/>
      <c r="R443" s="69"/>
    </row>
    <row r="444" spans="2:18" ht="15.75" hidden="1" customHeight="1">
      <c r="B444" s="102"/>
      <c r="C444" s="103"/>
      <c r="D444" s="104"/>
      <c r="E444" s="104"/>
      <c r="F444" s="104"/>
      <c r="G444" s="69"/>
      <c r="H444" s="69"/>
      <c r="I444" s="69"/>
      <c r="J444" s="69"/>
      <c r="K444" s="69"/>
      <c r="L444" s="69"/>
      <c r="M444" s="69"/>
      <c r="N444" s="69"/>
      <c r="O444" s="69"/>
      <c r="P444" s="69"/>
      <c r="Q444" s="69"/>
      <c r="R444" s="69"/>
    </row>
    <row r="445" spans="2:18" ht="15.75" hidden="1" customHeight="1">
      <c r="B445" s="98"/>
      <c r="C445" s="99"/>
      <c r="D445" s="100"/>
      <c r="E445" s="100"/>
      <c r="F445" s="100"/>
      <c r="G445" s="69"/>
      <c r="H445" s="69"/>
      <c r="I445" s="69"/>
      <c r="J445" s="69"/>
      <c r="K445" s="69"/>
      <c r="L445" s="69"/>
      <c r="M445" s="69"/>
      <c r="N445" s="69"/>
      <c r="O445" s="69"/>
      <c r="P445" s="69"/>
      <c r="Q445" s="69"/>
      <c r="R445" s="69"/>
    </row>
    <row r="446" spans="2:18" ht="15.75" hidden="1" customHeight="1">
      <c r="B446" s="102"/>
      <c r="C446" s="103"/>
      <c r="D446" s="104"/>
      <c r="E446" s="104"/>
      <c r="F446" s="104"/>
      <c r="G446" s="69"/>
      <c r="H446" s="69"/>
      <c r="I446" s="69"/>
      <c r="J446" s="69"/>
      <c r="K446" s="69"/>
      <c r="L446" s="69"/>
      <c r="M446" s="69"/>
      <c r="N446" s="69"/>
      <c r="O446" s="69"/>
      <c r="P446" s="69"/>
      <c r="Q446" s="69"/>
      <c r="R446" s="69"/>
    </row>
    <row r="447" spans="2:18" ht="15.75" hidden="1" customHeight="1">
      <c r="B447" s="98"/>
      <c r="C447" s="99"/>
      <c r="D447" s="100"/>
      <c r="E447" s="100"/>
      <c r="F447" s="100"/>
      <c r="G447" s="69"/>
      <c r="H447" s="69"/>
      <c r="I447" s="69"/>
      <c r="J447" s="69"/>
      <c r="K447" s="69"/>
      <c r="L447" s="69"/>
      <c r="M447" s="69"/>
      <c r="N447" s="69"/>
      <c r="O447" s="69"/>
      <c r="P447" s="69"/>
      <c r="Q447" s="69"/>
      <c r="R447" s="69"/>
    </row>
    <row r="448" spans="2:18" ht="15.75" customHeight="1">
      <c r="B448" s="102"/>
      <c r="C448" s="103"/>
      <c r="D448" s="104"/>
      <c r="E448" s="104"/>
      <c r="F448" s="104"/>
      <c r="G448" s="69"/>
      <c r="H448" s="69"/>
      <c r="I448" s="69"/>
      <c r="J448" s="69"/>
      <c r="K448" s="69"/>
      <c r="L448" s="69"/>
      <c r="M448" s="69"/>
      <c r="N448" s="69"/>
      <c r="O448" s="69"/>
      <c r="P448" s="69"/>
      <c r="Q448" s="69"/>
      <c r="R448" s="69"/>
    </row>
    <row r="449" spans="2:18" ht="15.75" customHeight="1">
      <c r="B449" s="98"/>
      <c r="C449" s="99"/>
      <c r="D449" s="100"/>
      <c r="E449" s="100"/>
      <c r="F449" s="100"/>
      <c r="G449" s="69"/>
      <c r="H449" s="69"/>
      <c r="I449" s="69"/>
      <c r="J449" s="69"/>
      <c r="K449" s="69"/>
      <c r="L449" s="69"/>
      <c r="M449" s="69"/>
      <c r="N449" s="69"/>
      <c r="O449" s="69"/>
      <c r="P449" s="69"/>
      <c r="Q449" s="69"/>
      <c r="R449" s="69"/>
    </row>
    <row r="450" spans="2:18" ht="15.75" customHeight="1">
      <c r="B450" s="102"/>
      <c r="C450" s="103"/>
      <c r="D450" s="104"/>
      <c r="E450" s="104"/>
      <c r="F450" s="104"/>
      <c r="G450" s="69"/>
      <c r="H450" s="69"/>
      <c r="I450" s="69"/>
      <c r="J450" s="69"/>
      <c r="K450" s="69"/>
      <c r="L450" s="69"/>
      <c r="M450" s="69"/>
      <c r="N450" s="69"/>
      <c r="O450" s="69"/>
      <c r="P450" s="69"/>
      <c r="Q450" s="69"/>
      <c r="R450" s="69"/>
    </row>
    <row r="451" spans="2:18" ht="15.75" customHeight="1">
      <c r="B451" s="98"/>
      <c r="C451" s="99"/>
      <c r="D451" s="100"/>
      <c r="E451" s="100"/>
      <c r="F451" s="100"/>
      <c r="G451" s="69"/>
      <c r="H451" s="69"/>
      <c r="I451" s="69"/>
      <c r="J451" s="69"/>
      <c r="K451" s="69"/>
      <c r="L451" s="69"/>
      <c r="M451" s="69"/>
      <c r="N451" s="69"/>
      <c r="O451" s="69"/>
      <c r="P451" s="69"/>
      <c r="Q451" s="69"/>
      <c r="R451" s="69"/>
    </row>
    <row r="452" spans="2:18" ht="15.75" customHeight="1">
      <c r="B452" s="102"/>
      <c r="C452" s="103"/>
      <c r="D452" s="104"/>
      <c r="E452" s="104"/>
      <c r="F452" s="104"/>
      <c r="G452" s="69"/>
      <c r="H452" s="69"/>
      <c r="I452" s="69"/>
      <c r="J452" s="69"/>
      <c r="K452" s="69"/>
      <c r="L452" s="69"/>
      <c r="M452" s="69"/>
      <c r="N452" s="69"/>
      <c r="O452" s="69"/>
      <c r="P452" s="69"/>
      <c r="Q452" s="69"/>
      <c r="R452" s="69"/>
    </row>
    <row r="453" spans="2:18" ht="15.75" customHeight="1">
      <c r="B453" s="98"/>
      <c r="C453" s="99"/>
      <c r="D453" s="100"/>
      <c r="E453" s="100"/>
      <c r="F453" s="100"/>
      <c r="G453" s="69"/>
      <c r="H453" s="69"/>
      <c r="I453" s="69"/>
      <c r="J453" s="69"/>
      <c r="K453" s="69"/>
      <c r="L453" s="69"/>
      <c r="M453" s="69"/>
      <c r="N453" s="69"/>
      <c r="O453" s="69"/>
      <c r="P453" s="69"/>
      <c r="Q453" s="69"/>
      <c r="R453" s="69"/>
    </row>
    <row r="454" spans="2:18" ht="15.75" customHeight="1">
      <c r="B454" s="102"/>
      <c r="C454" s="103"/>
      <c r="D454" s="104"/>
      <c r="E454" s="104"/>
      <c r="F454" s="104"/>
      <c r="G454" s="69"/>
      <c r="H454" s="69"/>
      <c r="I454" s="69"/>
      <c r="J454" s="69"/>
      <c r="K454" s="69"/>
      <c r="L454" s="69"/>
      <c r="M454" s="69"/>
      <c r="N454" s="69"/>
      <c r="O454" s="69"/>
      <c r="P454" s="69"/>
      <c r="Q454" s="69"/>
      <c r="R454" s="69"/>
    </row>
    <row r="455" spans="2:18" ht="15.75" customHeight="1">
      <c r="B455" s="98"/>
      <c r="C455" s="99"/>
      <c r="D455" s="100"/>
      <c r="E455" s="100"/>
      <c r="F455" s="100"/>
      <c r="G455" s="69"/>
      <c r="H455" s="69"/>
      <c r="I455" s="69"/>
      <c r="J455" s="69"/>
      <c r="K455" s="69"/>
      <c r="L455" s="69"/>
      <c r="M455" s="69"/>
      <c r="N455" s="69"/>
      <c r="O455" s="69"/>
      <c r="P455" s="69"/>
      <c r="Q455" s="69"/>
      <c r="R455" s="69"/>
    </row>
    <row r="456" spans="2:18" ht="15.75" customHeight="1">
      <c r="B456" s="102"/>
      <c r="C456" s="103"/>
      <c r="D456" s="104"/>
      <c r="E456" s="104"/>
      <c r="F456" s="104"/>
      <c r="G456" s="69"/>
      <c r="H456" s="69"/>
      <c r="I456" s="69"/>
      <c r="J456" s="69"/>
      <c r="K456" s="69"/>
      <c r="L456" s="69"/>
      <c r="M456" s="69"/>
      <c r="N456" s="69"/>
      <c r="O456" s="69"/>
      <c r="P456" s="69"/>
      <c r="Q456" s="69"/>
      <c r="R456" s="69"/>
    </row>
    <row r="457" spans="2:18" ht="15.75" customHeight="1">
      <c r="B457" s="98"/>
      <c r="C457" s="99"/>
      <c r="D457" s="100"/>
      <c r="E457" s="100"/>
      <c r="F457" s="100"/>
      <c r="G457" s="69"/>
      <c r="H457" s="69"/>
      <c r="I457" s="69"/>
      <c r="J457" s="69"/>
      <c r="K457" s="69"/>
      <c r="L457" s="69"/>
      <c r="M457" s="69"/>
      <c r="N457" s="69"/>
      <c r="O457" s="69"/>
      <c r="P457" s="69"/>
      <c r="Q457" s="69"/>
      <c r="R457" s="69"/>
    </row>
    <row r="458" spans="2:18" ht="15.75" customHeight="1">
      <c r="B458" s="102"/>
      <c r="C458" s="103"/>
      <c r="D458" s="104"/>
      <c r="E458" s="104"/>
      <c r="F458" s="104"/>
      <c r="G458" s="69"/>
      <c r="H458" s="69"/>
      <c r="I458" s="69"/>
      <c r="J458" s="69"/>
      <c r="K458" s="69"/>
      <c r="L458" s="69"/>
      <c r="M458" s="69"/>
      <c r="N458" s="69"/>
      <c r="O458" s="69"/>
      <c r="P458" s="69"/>
      <c r="Q458" s="69"/>
      <c r="R458" s="69"/>
    </row>
    <row r="459" spans="2:18" ht="15.75" customHeight="1">
      <c r="B459" s="98"/>
      <c r="C459" s="99"/>
      <c r="D459" s="100"/>
      <c r="E459" s="100"/>
      <c r="F459" s="100"/>
      <c r="G459" s="69"/>
      <c r="H459" s="69"/>
      <c r="I459" s="69"/>
      <c r="J459" s="69"/>
      <c r="K459" s="69"/>
      <c r="L459" s="69"/>
      <c r="M459" s="69"/>
      <c r="N459" s="69"/>
      <c r="O459" s="69"/>
      <c r="P459" s="69"/>
      <c r="Q459" s="69"/>
      <c r="R459" s="69"/>
    </row>
    <row r="460" spans="2:18" ht="15.75" customHeight="1">
      <c r="B460" s="102"/>
      <c r="C460" s="103"/>
      <c r="D460" s="104"/>
      <c r="E460" s="104"/>
      <c r="F460" s="104"/>
      <c r="G460" s="69"/>
      <c r="H460" s="69"/>
      <c r="I460" s="69"/>
      <c r="J460" s="69"/>
      <c r="K460" s="69"/>
      <c r="L460" s="69"/>
      <c r="M460" s="69"/>
      <c r="N460" s="69"/>
      <c r="O460" s="69"/>
      <c r="P460" s="69"/>
      <c r="Q460" s="69"/>
      <c r="R460" s="69"/>
    </row>
    <row r="461" spans="2:18" ht="15.75" customHeight="1">
      <c r="B461" s="98"/>
      <c r="C461" s="99"/>
      <c r="D461" s="100"/>
      <c r="E461" s="100"/>
      <c r="F461" s="100"/>
      <c r="G461" s="69"/>
      <c r="H461" s="69"/>
      <c r="I461" s="69"/>
      <c r="J461" s="69"/>
      <c r="K461" s="69"/>
      <c r="L461" s="69"/>
      <c r="M461" s="69"/>
      <c r="N461" s="69"/>
      <c r="O461" s="69"/>
      <c r="P461" s="69"/>
      <c r="Q461" s="69"/>
      <c r="R461" s="69"/>
    </row>
    <row r="462" spans="2:18" ht="15.75" customHeight="1">
      <c r="B462" s="102"/>
      <c r="C462" s="103"/>
      <c r="D462" s="104"/>
      <c r="E462" s="104"/>
      <c r="F462" s="104"/>
      <c r="G462" s="69"/>
      <c r="H462" s="69"/>
      <c r="I462" s="69"/>
      <c r="J462" s="69"/>
      <c r="K462" s="69"/>
      <c r="L462" s="69"/>
      <c r="M462" s="69"/>
      <c r="N462" s="69"/>
      <c r="O462" s="69"/>
      <c r="P462" s="69"/>
      <c r="Q462" s="69"/>
      <c r="R462" s="69"/>
    </row>
    <row r="463" spans="2:18" ht="15.75" customHeight="1">
      <c r="B463" s="98"/>
      <c r="C463" s="99"/>
      <c r="D463" s="100"/>
      <c r="E463" s="100"/>
      <c r="F463" s="100"/>
      <c r="G463" s="69"/>
      <c r="H463" s="69"/>
      <c r="I463" s="69"/>
      <c r="J463" s="69"/>
      <c r="K463" s="69"/>
      <c r="L463" s="69"/>
      <c r="M463" s="69"/>
      <c r="N463" s="69"/>
      <c r="O463" s="69"/>
      <c r="P463" s="69"/>
      <c r="Q463" s="69"/>
      <c r="R463" s="69"/>
    </row>
    <row r="464" spans="2:18" ht="15.75" customHeight="1">
      <c r="B464" s="102"/>
      <c r="C464" s="103"/>
      <c r="D464" s="104"/>
      <c r="E464" s="104"/>
      <c r="F464" s="104"/>
      <c r="G464" s="69"/>
      <c r="H464" s="69"/>
      <c r="I464" s="69"/>
      <c r="J464" s="69"/>
      <c r="K464" s="69"/>
      <c r="L464" s="69"/>
      <c r="M464" s="69"/>
      <c r="N464" s="69"/>
      <c r="O464" s="69"/>
      <c r="P464" s="69"/>
      <c r="Q464" s="69"/>
      <c r="R464" s="69"/>
    </row>
    <row r="465" spans="2:18" ht="15.75" customHeight="1">
      <c r="B465" s="98"/>
      <c r="C465" s="99"/>
      <c r="D465" s="100"/>
      <c r="E465" s="100"/>
      <c r="F465" s="100"/>
      <c r="G465" s="69"/>
      <c r="H465" s="69"/>
      <c r="I465" s="69"/>
      <c r="J465" s="69"/>
      <c r="K465" s="69"/>
      <c r="L465" s="69"/>
      <c r="M465" s="69"/>
      <c r="N465" s="69"/>
      <c r="O465" s="69"/>
      <c r="P465" s="69"/>
      <c r="Q465" s="69"/>
      <c r="R465" s="69"/>
    </row>
    <row r="466" spans="2:18" ht="15.75" hidden="1" customHeight="1">
      <c r="B466" s="102"/>
      <c r="C466" s="103"/>
      <c r="D466" s="104"/>
      <c r="E466" s="104"/>
      <c r="F466" s="104"/>
      <c r="G466" s="69"/>
      <c r="H466" s="69"/>
      <c r="I466" s="69"/>
      <c r="J466" s="69"/>
      <c r="K466" s="69"/>
      <c r="L466" s="69"/>
      <c r="M466" s="69"/>
      <c r="N466" s="69"/>
      <c r="O466" s="69"/>
      <c r="P466" s="69"/>
      <c r="Q466" s="69"/>
      <c r="R466" s="69"/>
    </row>
    <row r="467" spans="2:18" ht="15.75" hidden="1" customHeight="1">
      <c r="B467" s="98"/>
      <c r="C467" s="99"/>
      <c r="D467" s="100"/>
      <c r="E467" s="100"/>
      <c r="F467" s="100"/>
      <c r="G467" s="69"/>
      <c r="H467" s="69"/>
      <c r="I467" s="69"/>
      <c r="J467" s="69"/>
      <c r="K467" s="69"/>
      <c r="L467" s="69"/>
      <c r="M467" s="69"/>
      <c r="N467" s="69"/>
      <c r="O467" s="69"/>
      <c r="P467" s="69"/>
      <c r="Q467" s="69"/>
      <c r="R467" s="69"/>
    </row>
    <row r="468" spans="2:18" ht="15.75" hidden="1" customHeight="1">
      <c r="B468" s="102"/>
      <c r="C468" s="103"/>
      <c r="D468" s="104"/>
      <c r="E468" s="104"/>
      <c r="F468" s="104"/>
      <c r="G468" s="69"/>
      <c r="H468" s="69"/>
      <c r="I468" s="69"/>
      <c r="J468" s="69"/>
      <c r="K468" s="69"/>
      <c r="L468" s="69"/>
      <c r="M468" s="69"/>
      <c r="N468" s="69"/>
      <c r="O468" s="69"/>
      <c r="P468" s="69"/>
      <c r="Q468" s="69"/>
      <c r="R468" s="69"/>
    </row>
    <row r="469" spans="2:18" ht="15.75" hidden="1" customHeight="1">
      <c r="B469" s="98"/>
      <c r="C469" s="99"/>
      <c r="D469" s="100"/>
      <c r="E469" s="100"/>
      <c r="F469" s="100"/>
      <c r="G469" s="69"/>
      <c r="H469" s="69"/>
      <c r="I469" s="69"/>
      <c r="J469" s="69"/>
      <c r="K469" s="69"/>
      <c r="L469" s="69"/>
      <c r="M469" s="69"/>
      <c r="N469" s="69"/>
      <c r="O469" s="69"/>
      <c r="P469" s="69"/>
      <c r="Q469" s="69"/>
      <c r="R469" s="69"/>
    </row>
    <row r="470" spans="2:18" ht="15.75" hidden="1" customHeight="1">
      <c r="B470" s="102"/>
      <c r="C470" s="103"/>
      <c r="D470" s="104"/>
      <c r="E470" s="104"/>
      <c r="F470" s="104"/>
      <c r="G470" s="69"/>
      <c r="H470" s="69"/>
      <c r="I470" s="69"/>
      <c r="J470" s="69"/>
      <c r="K470" s="69"/>
      <c r="L470" s="69"/>
      <c r="M470" s="69"/>
      <c r="N470" s="69"/>
      <c r="O470" s="69"/>
      <c r="P470" s="69"/>
      <c r="Q470" s="69"/>
      <c r="R470" s="69"/>
    </row>
    <row r="471" spans="2:18" ht="15.75" hidden="1" customHeight="1">
      <c r="B471" s="98"/>
      <c r="C471" s="99"/>
      <c r="D471" s="100"/>
      <c r="E471" s="100"/>
      <c r="F471" s="100"/>
      <c r="G471" s="69"/>
      <c r="H471" s="69"/>
      <c r="I471" s="69"/>
      <c r="J471" s="69"/>
      <c r="K471" s="69"/>
      <c r="L471" s="69"/>
      <c r="M471" s="69"/>
      <c r="N471" s="69"/>
      <c r="O471" s="69"/>
      <c r="P471" s="69"/>
      <c r="Q471" s="69"/>
      <c r="R471" s="69"/>
    </row>
    <row r="472" spans="2:18" ht="15.75" hidden="1" customHeight="1">
      <c r="B472" s="102"/>
      <c r="C472" s="103"/>
      <c r="D472" s="104"/>
      <c r="E472" s="104"/>
      <c r="F472" s="104"/>
      <c r="G472" s="69"/>
      <c r="H472" s="69"/>
      <c r="I472" s="69"/>
      <c r="J472" s="69"/>
      <c r="K472" s="69"/>
      <c r="L472" s="69"/>
      <c r="M472" s="69"/>
      <c r="N472" s="69"/>
      <c r="O472" s="69"/>
      <c r="P472" s="69"/>
      <c r="Q472" s="69"/>
      <c r="R472" s="69"/>
    </row>
    <row r="473" spans="2:18" ht="15.75" hidden="1" customHeight="1">
      <c r="B473" s="98"/>
      <c r="C473" s="99"/>
      <c r="D473" s="100"/>
      <c r="E473" s="100"/>
      <c r="F473" s="100"/>
      <c r="G473" s="69"/>
      <c r="H473" s="69"/>
      <c r="I473" s="69"/>
      <c r="J473" s="69"/>
      <c r="K473" s="69"/>
      <c r="L473" s="69"/>
      <c r="M473" s="69"/>
      <c r="N473" s="69"/>
      <c r="O473" s="69"/>
      <c r="P473" s="69"/>
      <c r="Q473" s="69"/>
      <c r="R473" s="69"/>
    </row>
    <row r="474" spans="2:18" ht="15.75" hidden="1" customHeight="1">
      <c r="B474" s="102"/>
      <c r="C474" s="103"/>
      <c r="D474" s="104"/>
      <c r="E474" s="104"/>
      <c r="F474" s="104"/>
      <c r="G474" s="69"/>
      <c r="H474" s="69"/>
      <c r="I474" s="69"/>
      <c r="J474" s="69"/>
      <c r="K474" s="69"/>
      <c r="L474" s="69"/>
      <c r="M474" s="69"/>
      <c r="N474" s="69"/>
      <c r="O474" s="69"/>
      <c r="P474" s="69"/>
      <c r="Q474" s="69"/>
      <c r="R474" s="69"/>
    </row>
    <row r="475" spans="2:18" ht="15.75" hidden="1" customHeight="1">
      <c r="B475" s="98"/>
      <c r="C475" s="99"/>
      <c r="D475" s="100"/>
      <c r="E475" s="100"/>
      <c r="F475" s="100"/>
      <c r="G475" s="69"/>
      <c r="H475" s="69"/>
      <c r="I475" s="69"/>
      <c r="J475" s="69"/>
      <c r="K475" s="69"/>
      <c r="L475" s="69"/>
      <c r="M475" s="69"/>
      <c r="N475" s="69"/>
      <c r="O475" s="69"/>
      <c r="P475" s="69"/>
      <c r="Q475" s="69"/>
      <c r="R475" s="69"/>
    </row>
    <row r="476" spans="2:18" ht="15.75" hidden="1" customHeight="1">
      <c r="B476" s="102"/>
      <c r="C476" s="103"/>
      <c r="D476" s="104"/>
      <c r="E476" s="104"/>
      <c r="F476" s="104"/>
      <c r="G476" s="69"/>
      <c r="H476" s="69"/>
      <c r="I476" s="69"/>
      <c r="J476" s="69"/>
      <c r="K476" s="69"/>
      <c r="L476" s="69"/>
      <c r="M476" s="69"/>
      <c r="N476" s="69"/>
      <c r="O476" s="69"/>
      <c r="P476" s="69"/>
      <c r="Q476" s="69"/>
      <c r="R476" s="69"/>
    </row>
    <row r="477" spans="2:18" ht="15.75" hidden="1" customHeight="1">
      <c r="B477" s="98"/>
      <c r="C477" s="99"/>
      <c r="D477" s="100"/>
      <c r="E477" s="100"/>
      <c r="F477" s="100"/>
      <c r="G477" s="69"/>
      <c r="H477" s="69"/>
      <c r="I477" s="69"/>
      <c r="J477" s="69"/>
      <c r="K477" s="69"/>
      <c r="L477" s="69"/>
      <c r="M477" s="69"/>
      <c r="N477" s="69"/>
      <c r="O477" s="69"/>
      <c r="P477" s="69"/>
      <c r="Q477" s="69"/>
      <c r="R477" s="69"/>
    </row>
    <row r="478" spans="2:18" ht="15.75" hidden="1" customHeight="1">
      <c r="B478" s="102"/>
      <c r="C478" s="103"/>
      <c r="D478" s="104"/>
      <c r="E478" s="104"/>
      <c r="F478" s="104"/>
      <c r="G478" s="69"/>
      <c r="H478" s="69"/>
      <c r="I478" s="69"/>
      <c r="J478" s="69"/>
      <c r="K478" s="69"/>
      <c r="L478" s="69"/>
      <c r="M478" s="69"/>
      <c r="N478" s="69"/>
      <c r="O478" s="69"/>
      <c r="P478" s="69"/>
      <c r="Q478" s="69"/>
      <c r="R478" s="69"/>
    </row>
    <row r="479" spans="2:18" ht="15.75" hidden="1" customHeight="1">
      <c r="B479" s="98"/>
      <c r="C479" s="99"/>
      <c r="D479" s="100"/>
      <c r="E479" s="100"/>
      <c r="F479" s="100"/>
      <c r="G479" s="69"/>
      <c r="H479" s="69"/>
      <c r="I479" s="69"/>
      <c r="J479" s="69"/>
      <c r="K479" s="69"/>
      <c r="L479" s="69"/>
      <c r="M479" s="69"/>
      <c r="N479" s="69"/>
      <c r="O479" s="69"/>
      <c r="P479" s="69"/>
      <c r="Q479" s="69"/>
      <c r="R479" s="69"/>
    </row>
    <row r="480" spans="2:18" ht="15.75" hidden="1" customHeight="1">
      <c r="B480" s="102"/>
      <c r="C480" s="103"/>
      <c r="D480" s="104"/>
      <c r="E480" s="104"/>
      <c r="F480" s="104"/>
      <c r="G480" s="69"/>
      <c r="H480" s="69"/>
      <c r="I480" s="69"/>
      <c r="J480" s="69"/>
      <c r="K480" s="69"/>
      <c r="L480" s="69"/>
      <c r="M480" s="69"/>
      <c r="N480" s="69"/>
      <c r="O480" s="69"/>
      <c r="P480" s="69"/>
      <c r="Q480" s="69"/>
      <c r="R480" s="69"/>
    </row>
    <row r="481" spans="2:18" ht="15.75" hidden="1" customHeight="1">
      <c r="B481" s="98"/>
      <c r="C481" s="99"/>
      <c r="D481" s="100"/>
      <c r="E481" s="100"/>
      <c r="F481" s="100"/>
      <c r="G481" s="69"/>
      <c r="H481" s="69"/>
      <c r="I481" s="69"/>
      <c r="J481" s="69"/>
      <c r="K481" s="69"/>
      <c r="L481" s="69"/>
      <c r="M481" s="69"/>
      <c r="N481" s="69"/>
      <c r="O481" s="69"/>
      <c r="P481" s="69"/>
      <c r="Q481" s="69"/>
      <c r="R481" s="69"/>
    </row>
    <row r="482" spans="2:18" ht="15.75" hidden="1" customHeight="1">
      <c r="B482" s="102"/>
      <c r="C482" s="103"/>
      <c r="D482" s="104"/>
      <c r="E482" s="104"/>
      <c r="F482" s="104"/>
      <c r="G482" s="69"/>
      <c r="H482" s="69"/>
      <c r="I482" s="69"/>
      <c r="J482" s="69"/>
      <c r="K482" s="69"/>
      <c r="L482" s="69"/>
      <c r="M482" s="69"/>
      <c r="N482" s="69"/>
      <c r="O482" s="69"/>
      <c r="P482" s="69"/>
      <c r="Q482" s="69"/>
      <c r="R482" s="69"/>
    </row>
    <row r="483" spans="2:18" ht="15.75" hidden="1" customHeight="1">
      <c r="B483" s="98"/>
      <c r="C483" s="99"/>
      <c r="D483" s="100"/>
      <c r="E483" s="100"/>
      <c r="F483" s="100"/>
      <c r="G483" s="69"/>
      <c r="H483" s="69"/>
      <c r="I483" s="69"/>
      <c r="J483" s="69"/>
      <c r="K483" s="69"/>
      <c r="L483" s="69"/>
      <c r="M483" s="69"/>
      <c r="N483" s="69"/>
      <c r="O483" s="69"/>
      <c r="P483" s="69"/>
      <c r="Q483" s="69"/>
      <c r="R483" s="69"/>
    </row>
    <row r="484" spans="2:18" ht="15.75" hidden="1" customHeight="1">
      <c r="B484" s="102"/>
      <c r="C484" s="103"/>
      <c r="D484" s="104"/>
      <c r="E484" s="104"/>
      <c r="F484" s="104"/>
      <c r="G484" s="69"/>
      <c r="H484" s="69"/>
      <c r="I484" s="69"/>
      <c r="J484" s="69"/>
      <c r="K484" s="69"/>
      <c r="L484" s="69"/>
      <c r="M484" s="69"/>
      <c r="N484" s="69"/>
      <c r="O484" s="69"/>
      <c r="P484" s="69"/>
      <c r="Q484" s="69"/>
      <c r="R484" s="69"/>
    </row>
    <row r="485" spans="2:18" ht="15.75" hidden="1" customHeight="1">
      <c r="B485" s="98"/>
      <c r="C485" s="99"/>
      <c r="D485" s="100"/>
      <c r="E485" s="100"/>
      <c r="F485" s="100"/>
      <c r="G485" s="69"/>
      <c r="H485" s="69"/>
      <c r="I485" s="69"/>
      <c r="J485" s="69"/>
      <c r="K485" s="69"/>
      <c r="L485" s="69"/>
      <c r="M485" s="69"/>
      <c r="N485" s="69"/>
      <c r="O485" s="69"/>
      <c r="P485" s="69"/>
      <c r="Q485" s="69"/>
      <c r="R485" s="69"/>
    </row>
    <row r="486" spans="2:18" ht="15.75" hidden="1" customHeight="1">
      <c r="B486" s="102"/>
      <c r="C486" s="103"/>
      <c r="D486" s="104"/>
      <c r="E486" s="104"/>
      <c r="F486" s="104"/>
      <c r="G486" s="69"/>
      <c r="H486" s="69"/>
      <c r="I486" s="69"/>
      <c r="J486" s="69"/>
      <c r="K486" s="69"/>
      <c r="L486" s="69"/>
      <c r="M486" s="69"/>
      <c r="N486" s="69"/>
      <c r="O486" s="69"/>
      <c r="P486" s="69"/>
      <c r="Q486" s="69"/>
      <c r="R486" s="69"/>
    </row>
    <row r="487" spans="2:18" ht="15.75" hidden="1" customHeight="1">
      <c r="B487" s="98"/>
      <c r="C487" s="99"/>
      <c r="D487" s="100"/>
      <c r="E487" s="100"/>
      <c r="F487" s="100"/>
      <c r="G487" s="69"/>
      <c r="H487" s="69"/>
      <c r="I487" s="69"/>
      <c r="J487" s="69"/>
      <c r="K487" s="69"/>
      <c r="L487" s="69"/>
      <c r="M487" s="69"/>
      <c r="N487" s="69"/>
      <c r="O487" s="69"/>
      <c r="P487" s="69"/>
      <c r="Q487" s="69"/>
      <c r="R487" s="69"/>
    </row>
    <row r="488" spans="2:18" ht="15.75" hidden="1" customHeight="1">
      <c r="B488" s="102"/>
      <c r="C488" s="103"/>
      <c r="D488" s="104"/>
      <c r="E488" s="104"/>
      <c r="F488" s="104"/>
      <c r="G488" s="69"/>
      <c r="H488" s="69"/>
      <c r="I488" s="69"/>
      <c r="J488" s="69"/>
      <c r="K488" s="69"/>
      <c r="L488" s="69"/>
      <c r="M488" s="69"/>
      <c r="N488" s="69"/>
      <c r="O488" s="69"/>
      <c r="P488" s="69"/>
      <c r="Q488" s="69"/>
      <c r="R488" s="69"/>
    </row>
    <row r="489" spans="2:18" ht="15.75" hidden="1" customHeight="1">
      <c r="B489" s="98"/>
      <c r="C489" s="99"/>
      <c r="D489" s="100"/>
      <c r="E489" s="100"/>
      <c r="F489" s="100"/>
      <c r="G489" s="69"/>
      <c r="H489" s="69"/>
      <c r="I489" s="69"/>
      <c r="J489" s="69"/>
      <c r="K489" s="69"/>
      <c r="L489" s="69"/>
      <c r="M489" s="69"/>
      <c r="N489" s="69"/>
      <c r="O489" s="69"/>
      <c r="P489" s="69"/>
      <c r="Q489" s="69"/>
      <c r="R489" s="69"/>
    </row>
    <row r="490" spans="2:18" ht="15.75" hidden="1" customHeight="1">
      <c r="B490" s="102"/>
      <c r="C490" s="103"/>
      <c r="D490" s="104"/>
      <c r="E490" s="104"/>
      <c r="F490" s="104"/>
      <c r="G490" s="69"/>
      <c r="H490" s="69"/>
      <c r="I490" s="69"/>
      <c r="J490" s="69"/>
      <c r="K490" s="69"/>
      <c r="L490" s="69"/>
      <c r="M490" s="69"/>
      <c r="N490" s="69"/>
      <c r="O490" s="69"/>
      <c r="P490" s="69"/>
      <c r="Q490" s="69"/>
      <c r="R490" s="69"/>
    </row>
    <row r="491" spans="2:18" ht="15.75" hidden="1" customHeight="1">
      <c r="B491" s="98"/>
      <c r="C491" s="99"/>
      <c r="D491" s="100"/>
      <c r="E491" s="100"/>
      <c r="F491" s="100"/>
      <c r="G491" s="69"/>
      <c r="H491" s="69"/>
      <c r="I491" s="69"/>
      <c r="J491" s="69"/>
      <c r="K491" s="69"/>
      <c r="L491" s="69"/>
      <c r="M491" s="69"/>
      <c r="N491" s="69"/>
      <c r="O491" s="69"/>
      <c r="P491" s="69"/>
      <c r="Q491" s="69"/>
      <c r="R491" s="69"/>
    </row>
    <row r="492" spans="2:18" ht="15.75" hidden="1" customHeight="1">
      <c r="B492" s="102"/>
      <c r="C492" s="103"/>
      <c r="D492" s="104"/>
      <c r="E492" s="104"/>
      <c r="F492" s="104"/>
      <c r="G492" s="69"/>
      <c r="H492" s="69"/>
      <c r="I492" s="69"/>
      <c r="J492" s="69"/>
      <c r="K492" s="69"/>
      <c r="L492" s="69"/>
      <c r="M492" s="69"/>
      <c r="N492" s="69"/>
      <c r="O492" s="69"/>
      <c r="P492" s="69"/>
      <c r="Q492" s="69"/>
      <c r="R492" s="69"/>
    </row>
    <row r="493" spans="2:18" ht="15.75" hidden="1" customHeight="1">
      <c r="B493" s="98"/>
      <c r="C493" s="99"/>
      <c r="D493" s="100"/>
      <c r="E493" s="100"/>
      <c r="F493" s="100"/>
      <c r="G493" s="69"/>
      <c r="H493" s="69"/>
      <c r="I493" s="69"/>
      <c r="J493" s="69"/>
      <c r="K493" s="69"/>
      <c r="L493" s="69"/>
      <c r="M493" s="69"/>
      <c r="N493" s="69"/>
      <c r="O493" s="69"/>
      <c r="P493" s="69"/>
      <c r="Q493" s="69"/>
      <c r="R493" s="69"/>
    </row>
    <row r="494" spans="2:18" ht="15.75" hidden="1" customHeight="1">
      <c r="B494" s="102"/>
      <c r="C494" s="103"/>
      <c r="D494" s="104"/>
      <c r="E494" s="104"/>
      <c r="F494" s="104"/>
      <c r="G494" s="69"/>
      <c r="H494" s="69"/>
      <c r="I494" s="69"/>
      <c r="J494" s="69"/>
      <c r="K494" s="69"/>
      <c r="L494" s="69"/>
      <c r="M494" s="69"/>
      <c r="N494" s="69"/>
      <c r="O494" s="69"/>
      <c r="P494" s="69"/>
      <c r="Q494" s="69"/>
      <c r="R494" s="69"/>
    </row>
    <row r="495" spans="2:18" ht="15.75" hidden="1" customHeight="1">
      <c r="B495" s="98"/>
      <c r="C495" s="99"/>
      <c r="D495" s="100"/>
      <c r="E495" s="100"/>
      <c r="F495" s="100"/>
      <c r="G495" s="69"/>
      <c r="H495" s="69"/>
      <c r="I495" s="69"/>
      <c r="J495" s="69"/>
      <c r="K495" s="69"/>
      <c r="L495" s="69"/>
      <c r="M495" s="69"/>
      <c r="N495" s="69"/>
      <c r="O495" s="69"/>
      <c r="P495" s="69"/>
      <c r="Q495" s="69"/>
      <c r="R495" s="69"/>
    </row>
    <row r="496" spans="2:18" ht="15.75" hidden="1" customHeight="1">
      <c r="B496" s="102"/>
      <c r="C496" s="103"/>
      <c r="D496" s="104"/>
      <c r="E496" s="104"/>
      <c r="F496" s="104"/>
      <c r="G496" s="69"/>
      <c r="H496" s="69"/>
      <c r="I496" s="69"/>
      <c r="J496" s="69"/>
      <c r="K496" s="69"/>
      <c r="L496" s="69"/>
      <c r="M496" s="69"/>
      <c r="N496" s="69"/>
      <c r="O496" s="69"/>
      <c r="P496" s="69"/>
      <c r="Q496" s="69"/>
      <c r="R496" s="69"/>
    </row>
    <row r="497" spans="2:18" ht="15.75" hidden="1" customHeight="1">
      <c r="B497" s="98"/>
      <c r="C497" s="99"/>
      <c r="D497" s="100"/>
      <c r="E497" s="100"/>
      <c r="F497" s="100"/>
      <c r="G497" s="69"/>
      <c r="H497" s="69"/>
      <c r="I497" s="69"/>
      <c r="J497" s="69"/>
      <c r="K497" s="69"/>
      <c r="L497" s="69"/>
      <c r="M497" s="69"/>
      <c r="N497" s="69"/>
      <c r="O497" s="69"/>
      <c r="P497" s="69"/>
      <c r="Q497" s="69"/>
      <c r="R497" s="69"/>
    </row>
    <row r="498" spans="2:18" ht="15.75" hidden="1" customHeight="1">
      <c r="B498" s="102"/>
      <c r="C498" s="103"/>
      <c r="D498" s="104"/>
      <c r="E498" s="104"/>
      <c r="F498" s="104"/>
      <c r="G498" s="69"/>
      <c r="H498" s="69"/>
      <c r="I498" s="69"/>
      <c r="J498" s="69"/>
      <c r="K498" s="69"/>
      <c r="L498" s="69"/>
      <c r="M498" s="69"/>
      <c r="N498" s="69"/>
      <c r="O498" s="69"/>
      <c r="P498" s="69"/>
      <c r="Q498" s="69"/>
      <c r="R498" s="69"/>
    </row>
    <row r="499" spans="2:18" ht="15.75" hidden="1" customHeight="1">
      <c r="B499" s="98"/>
      <c r="C499" s="99"/>
      <c r="D499" s="100"/>
      <c r="E499" s="100"/>
      <c r="F499" s="100"/>
      <c r="G499" s="69"/>
      <c r="H499" s="69"/>
      <c r="I499" s="69"/>
      <c r="J499" s="69"/>
      <c r="K499" s="69"/>
      <c r="L499" s="69"/>
      <c r="M499" s="69"/>
      <c r="N499" s="69"/>
      <c r="O499" s="69"/>
      <c r="P499" s="69"/>
      <c r="Q499" s="69"/>
      <c r="R499" s="69"/>
    </row>
    <row r="500" spans="2:18" ht="15.75" hidden="1" customHeight="1">
      <c r="B500" s="102"/>
      <c r="C500" s="103"/>
      <c r="D500" s="104"/>
      <c r="E500" s="104"/>
      <c r="F500" s="104"/>
      <c r="G500" s="69"/>
      <c r="H500" s="69"/>
      <c r="I500" s="69"/>
      <c r="J500" s="69"/>
      <c r="K500" s="69"/>
      <c r="L500" s="69"/>
      <c r="M500" s="69"/>
      <c r="N500" s="69"/>
      <c r="O500" s="69"/>
      <c r="P500" s="69"/>
      <c r="Q500" s="69"/>
      <c r="R500" s="69"/>
    </row>
    <row r="501" spans="2:18" ht="15.75" customHeight="1">
      <c r="B501" s="98"/>
      <c r="C501" s="99"/>
      <c r="D501" s="100"/>
      <c r="E501" s="100"/>
      <c r="F501" s="100"/>
      <c r="G501" s="69"/>
      <c r="H501" s="69"/>
      <c r="I501" s="69"/>
      <c r="J501" s="69"/>
      <c r="K501" s="69"/>
      <c r="L501" s="69"/>
      <c r="M501" s="69"/>
      <c r="N501" s="69"/>
      <c r="O501" s="69"/>
      <c r="P501" s="69"/>
      <c r="Q501" s="69"/>
      <c r="R501" s="69"/>
    </row>
    <row r="502" spans="2:18" ht="15.75" customHeight="1">
      <c r="B502" s="102"/>
      <c r="C502" s="103"/>
      <c r="D502" s="104"/>
      <c r="E502" s="104"/>
      <c r="F502" s="104"/>
      <c r="G502" s="69"/>
      <c r="H502" s="69"/>
      <c r="I502" s="69"/>
      <c r="J502" s="69"/>
      <c r="K502" s="69"/>
      <c r="L502" s="69"/>
      <c r="M502" s="69"/>
      <c r="N502" s="69"/>
      <c r="O502" s="69"/>
      <c r="P502" s="69"/>
      <c r="Q502" s="69"/>
      <c r="R502" s="69"/>
    </row>
    <row r="503" spans="2:18" ht="15.75" customHeight="1">
      <c r="B503" s="98"/>
      <c r="C503" s="99"/>
      <c r="D503" s="100"/>
      <c r="E503" s="100"/>
      <c r="F503" s="100"/>
      <c r="G503" s="69"/>
      <c r="H503" s="69"/>
      <c r="I503" s="69"/>
      <c r="J503" s="69"/>
      <c r="K503" s="69"/>
      <c r="L503" s="69"/>
      <c r="M503" s="69"/>
      <c r="N503" s="69"/>
      <c r="O503" s="69"/>
      <c r="P503" s="69"/>
      <c r="Q503" s="69"/>
      <c r="R503" s="69"/>
    </row>
    <row r="504" spans="2:18" ht="15.75" customHeight="1">
      <c r="B504" s="102"/>
      <c r="C504" s="103"/>
      <c r="D504" s="104"/>
      <c r="E504" s="104"/>
      <c r="F504" s="104"/>
      <c r="G504" s="69"/>
      <c r="H504" s="69"/>
      <c r="I504" s="69"/>
      <c r="J504" s="69"/>
      <c r="K504" s="69"/>
      <c r="L504" s="69"/>
      <c r="M504" s="69"/>
      <c r="N504" s="69"/>
      <c r="O504" s="69"/>
      <c r="P504" s="69"/>
      <c r="Q504" s="69"/>
      <c r="R504" s="69"/>
    </row>
    <row r="505" spans="2:18" ht="15.75" customHeight="1">
      <c r="B505" s="105"/>
      <c r="C505" s="106"/>
      <c r="D505" s="107"/>
      <c r="E505" s="107"/>
      <c r="F505" s="107"/>
      <c r="G505" s="69"/>
      <c r="H505" s="69"/>
      <c r="I505" s="69"/>
      <c r="J505" s="69"/>
      <c r="K505" s="69"/>
      <c r="L505" s="69"/>
      <c r="M505" s="69"/>
      <c r="N505" s="69"/>
      <c r="O505" s="69"/>
      <c r="P505" s="69"/>
      <c r="Q505" s="69"/>
      <c r="R505" s="69"/>
    </row>
    <row r="506" spans="2:18" ht="15.75" customHeight="1">
      <c r="D506" s="94"/>
      <c r="E506" s="95"/>
      <c r="F506" s="95"/>
      <c r="G506" s="67"/>
      <c r="H506" s="67"/>
      <c r="I506" s="67"/>
      <c r="J506" s="67"/>
      <c r="K506" s="67"/>
      <c r="L506" s="67"/>
      <c r="M506" s="67"/>
      <c r="N506" s="67"/>
      <c r="O506" s="67"/>
      <c r="P506" s="67"/>
      <c r="Q506" s="67"/>
      <c r="R506" s="67"/>
    </row>
    <row r="507" spans="2:18" ht="15.75" customHeight="1">
      <c r="D507" s="94"/>
      <c r="E507" s="95"/>
      <c r="F507" s="95"/>
      <c r="G507" s="67"/>
      <c r="H507" s="67"/>
      <c r="I507" s="67"/>
      <c r="J507" s="67"/>
      <c r="K507" s="67"/>
      <c r="L507" s="67"/>
      <c r="M507" s="67"/>
      <c r="N507" s="67"/>
      <c r="O507" s="67"/>
      <c r="P507" s="67"/>
      <c r="Q507" s="67"/>
      <c r="R507" s="67"/>
    </row>
    <row r="508" spans="2:18" ht="15.75" customHeight="1">
      <c r="D508" s="94"/>
      <c r="E508" s="95"/>
      <c r="F508" s="95"/>
      <c r="G508" s="67"/>
      <c r="H508" s="67"/>
      <c r="I508" s="67"/>
      <c r="J508" s="67"/>
      <c r="K508" s="67"/>
      <c r="L508" s="67"/>
      <c r="M508" s="67"/>
      <c r="N508" s="67"/>
      <c r="O508" s="67"/>
      <c r="P508" s="67"/>
      <c r="Q508" s="67"/>
      <c r="R508" s="67"/>
    </row>
    <row r="509" spans="2:18" ht="15.75" customHeight="1">
      <c r="D509" s="94"/>
      <c r="E509" s="95"/>
      <c r="F509" s="95"/>
      <c r="G509" s="67"/>
      <c r="H509" s="67"/>
      <c r="I509" s="67"/>
      <c r="J509" s="67"/>
      <c r="K509" s="67"/>
      <c r="L509" s="67"/>
      <c r="M509" s="67"/>
      <c r="N509" s="67"/>
      <c r="O509" s="67"/>
      <c r="P509" s="67"/>
      <c r="Q509" s="67"/>
      <c r="R509" s="67"/>
    </row>
    <row r="510" spans="2:18" ht="15.75" customHeight="1">
      <c r="D510" s="94"/>
      <c r="E510" s="95"/>
      <c r="F510" s="95"/>
      <c r="G510" s="67"/>
      <c r="H510" s="67"/>
      <c r="I510" s="67"/>
      <c r="J510" s="67"/>
      <c r="K510" s="67"/>
      <c r="L510" s="67"/>
      <c r="M510" s="67"/>
      <c r="N510" s="67"/>
      <c r="O510" s="67"/>
      <c r="P510" s="67"/>
      <c r="Q510" s="67"/>
      <c r="R510" s="67"/>
    </row>
    <row r="511" spans="2:18" ht="15.75" customHeight="1">
      <c r="D511" s="94"/>
      <c r="E511" s="95"/>
      <c r="F511" s="95"/>
      <c r="G511" s="67"/>
      <c r="H511" s="67"/>
      <c r="I511" s="67"/>
      <c r="J511" s="67"/>
      <c r="K511" s="67"/>
      <c r="L511" s="67"/>
      <c r="M511" s="67"/>
      <c r="N511" s="67"/>
      <c r="O511" s="67"/>
      <c r="P511" s="67"/>
      <c r="Q511" s="67"/>
      <c r="R511" s="67"/>
    </row>
    <row r="512" spans="2:18" ht="15.75" customHeight="1">
      <c r="D512" s="94"/>
      <c r="E512" s="95"/>
      <c r="F512" s="95"/>
      <c r="G512" s="67"/>
      <c r="H512" s="67"/>
      <c r="I512" s="67"/>
      <c r="J512" s="67"/>
      <c r="K512" s="67"/>
      <c r="L512" s="67"/>
      <c r="M512" s="67"/>
      <c r="N512" s="67"/>
      <c r="O512" s="67"/>
      <c r="P512" s="67"/>
      <c r="Q512" s="67"/>
      <c r="R512" s="67"/>
    </row>
    <row r="513" spans="4:18" ht="15.75" customHeight="1">
      <c r="D513" s="94"/>
      <c r="E513" s="95"/>
      <c r="F513" s="95"/>
      <c r="G513" s="67"/>
      <c r="H513" s="67"/>
      <c r="I513" s="67"/>
      <c r="J513" s="67"/>
      <c r="K513" s="67"/>
      <c r="L513" s="67"/>
      <c r="M513" s="67"/>
      <c r="N513" s="67"/>
      <c r="O513" s="67"/>
      <c r="P513" s="67"/>
      <c r="Q513" s="67"/>
      <c r="R513" s="67"/>
    </row>
    <row r="514" spans="4:18" ht="15.75" customHeight="1">
      <c r="D514" s="94"/>
      <c r="E514" s="95"/>
      <c r="F514" s="95"/>
      <c r="G514" s="67"/>
      <c r="H514" s="67"/>
      <c r="I514" s="67"/>
      <c r="J514" s="67"/>
      <c r="K514" s="67"/>
      <c r="L514" s="67"/>
      <c r="M514" s="67"/>
      <c r="N514" s="67"/>
      <c r="O514" s="67"/>
      <c r="P514" s="67"/>
      <c r="Q514" s="67"/>
      <c r="R514" s="67"/>
    </row>
    <row r="515" spans="4:18" ht="15.75" customHeight="1">
      <c r="D515" s="94"/>
      <c r="E515" s="95"/>
      <c r="F515" s="95"/>
      <c r="G515" s="67"/>
      <c r="H515" s="67"/>
      <c r="I515" s="67"/>
      <c r="J515" s="67"/>
      <c r="K515" s="67"/>
      <c r="L515" s="67"/>
      <c r="M515" s="67"/>
      <c r="N515" s="67"/>
      <c r="O515" s="67"/>
      <c r="P515" s="67"/>
      <c r="Q515" s="67"/>
      <c r="R515" s="67"/>
    </row>
    <row r="516" spans="4:18" ht="15.75" customHeight="1">
      <c r="D516" s="94"/>
      <c r="E516" s="95"/>
      <c r="F516" s="95"/>
      <c r="G516" s="67"/>
      <c r="H516" s="67"/>
      <c r="I516" s="67"/>
      <c r="J516" s="67"/>
      <c r="K516" s="67"/>
      <c r="L516" s="67"/>
      <c r="M516" s="67"/>
      <c r="N516" s="67"/>
      <c r="O516" s="67"/>
      <c r="P516" s="67"/>
      <c r="Q516" s="67"/>
      <c r="R516" s="67"/>
    </row>
    <row r="517" spans="4:18" ht="15.75" customHeight="1">
      <c r="D517" s="94"/>
      <c r="E517" s="95"/>
      <c r="F517" s="95"/>
      <c r="G517" s="67"/>
      <c r="H517" s="67"/>
      <c r="I517" s="67"/>
      <c r="J517" s="67"/>
      <c r="K517" s="67"/>
      <c r="L517" s="67"/>
      <c r="M517" s="67"/>
      <c r="N517" s="67"/>
      <c r="O517" s="67"/>
      <c r="P517" s="67"/>
      <c r="Q517" s="67"/>
      <c r="R517" s="67"/>
    </row>
    <row r="518" spans="4:18" ht="15.75" customHeight="1">
      <c r="D518" s="94"/>
      <c r="E518" s="95"/>
      <c r="F518" s="95"/>
      <c r="G518" s="67"/>
      <c r="H518" s="67"/>
      <c r="I518" s="67"/>
      <c r="J518" s="67"/>
      <c r="K518" s="67"/>
      <c r="L518" s="67"/>
      <c r="M518" s="67"/>
      <c r="N518" s="67"/>
      <c r="O518" s="67"/>
      <c r="P518" s="67"/>
      <c r="Q518" s="67"/>
      <c r="R518" s="67"/>
    </row>
    <row r="519" spans="4:18" ht="15.75" customHeight="1">
      <c r="D519" s="94"/>
      <c r="E519" s="95"/>
      <c r="F519" s="95"/>
      <c r="G519" s="67"/>
      <c r="H519" s="67"/>
      <c r="I519" s="67"/>
      <c r="J519" s="67"/>
      <c r="K519" s="67"/>
      <c r="L519" s="67"/>
      <c r="M519" s="67"/>
      <c r="N519" s="67"/>
      <c r="O519" s="67"/>
      <c r="P519" s="67"/>
      <c r="Q519" s="67"/>
      <c r="R519" s="67"/>
    </row>
    <row r="520" spans="4:18" ht="15.75" customHeight="1">
      <c r="D520" s="94"/>
      <c r="E520" s="95"/>
      <c r="F520" s="95"/>
      <c r="G520" s="67"/>
      <c r="H520" s="67"/>
      <c r="I520" s="67"/>
      <c r="J520" s="67"/>
      <c r="K520" s="67"/>
      <c r="L520" s="67"/>
      <c r="M520" s="67"/>
      <c r="N520" s="67"/>
      <c r="O520" s="67"/>
      <c r="P520" s="67"/>
      <c r="Q520" s="67"/>
      <c r="R520" s="67"/>
    </row>
    <row r="521" spans="4:18" ht="15.75" customHeight="1">
      <c r="D521" s="94"/>
      <c r="E521" s="95"/>
      <c r="F521" s="95"/>
      <c r="G521" s="67"/>
      <c r="H521" s="67"/>
      <c r="I521" s="67"/>
      <c r="J521" s="67"/>
      <c r="K521" s="67"/>
      <c r="L521" s="67"/>
      <c r="M521" s="67"/>
      <c r="N521" s="67"/>
      <c r="O521" s="67"/>
      <c r="P521" s="67"/>
      <c r="Q521" s="67"/>
      <c r="R521" s="67"/>
    </row>
    <row r="522" spans="4:18" ht="15.75" customHeight="1">
      <c r="D522" s="94"/>
      <c r="E522" s="95"/>
      <c r="F522" s="95"/>
      <c r="G522" s="67"/>
      <c r="H522" s="67"/>
      <c r="I522" s="67"/>
      <c r="J522" s="67"/>
      <c r="K522" s="67"/>
      <c r="L522" s="67"/>
      <c r="M522" s="67"/>
      <c r="N522" s="67"/>
      <c r="O522" s="67"/>
      <c r="P522" s="67"/>
      <c r="Q522" s="67"/>
      <c r="R522" s="67"/>
    </row>
    <row r="523" spans="4:18" ht="15.75" customHeight="1">
      <c r="D523" s="94"/>
      <c r="E523" s="95"/>
      <c r="F523" s="95"/>
      <c r="G523" s="67"/>
      <c r="H523" s="67"/>
      <c r="I523" s="67"/>
      <c r="J523" s="67"/>
      <c r="K523" s="67"/>
      <c r="L523" s="67"/>
      <c r="M523" s="67"/>
      <c r="N523" s="67"/>
      <c r="O523" s="67"/>
      <c r="P523" s="67"/>
      <c r="Q523" s="67"/>
      <c r="R523" s="67"/>
    </row>
    <row r="524" spans="4:18" ht="15.75" customHeight="1">
      <c r="D524" s="94"/>
      <c r="E524" s="95"/>
      <c r="F524" s="95"/>
      <c r="G524" s="67"/>
      <c r="H524" s="67"/>
      <c r="I524" s="67"/>
      <c r="J524" s="67"/>
      <c r="K524" s="67"/>
      <c r="L524" s="67"/>
      <c r="M524" s="67"/>
      <c r="N524" s="67"/>
      <c r="O524" s="67"/>
      <c r="P524" s="67"/>
      <c r="Q524" s="67"/>
      <c r="R524" s="67"/>
    </row>
    <row r="525" spans="4:18" ht="15.75" customHeight="1">
      <c r="D525" s="94"/>
      <c r="E525" s="95"/>
      <c r="F525" s="95"/>
      <c r="G525" s="67"/>
      <c r="H525" s="67"/>
      <c r="I525" s="67"/>
      <c r="J525" s="67"/>
      <c r="K525" s="67"/>
      <c r="L525" s="67"/>
      <c r="M525" s="67"/>
      <c r="N525" s="67"/>
      <c r="O525" s="67"/>
      <c r="P525" s="67"/>
      <c r="Q525" s="67"/>
      <c r="R525" s="67"/>
    </row>
    <row r="526" spans="4:18" ht="15.75" customHeight="1">
      <c r="D526" s="94"/>
      <c r="E526" s="95"/>
      <c r="F526" s="95"/>
      <c r="G526" s="67"/>
      <c r="H526" s="67"/>
      <c r="I526" s="67"/>
      <c r="J526" s="67"/>
      <c r="K526" s="67"/>
      <c r="L526" s="67"/>
      <c r="M526" s="67"/>
      <c r="N526" s="67"/>
      <c r="O526" s="67"/>
      <c r="P526" s="67"/>
      <c r="Q526" s="67"/>
      <c r="R526" s="67"/>
    </row>
    <row r="527" spans="4:18" ht="15.75" customHeight="1">
      <c r="D527" s="94"/>
      <c r="E527" s="95"/>
      <c r="F527" s="95"/>
      <c r="G527" s="67"/>
      <c r="H527" s="67"/>
      <c r="I527" s="67"/>
      <c r="J527" s="67"/>
      <c r="K527" s="67"/>
      <c r="L527" s="67"/>
      <c r="M527" s="67"/>
      <c r="N527" s="67"/>
      <c r="O527" s="67"/>
      <c r="P527" s="67"/>
      <c r="Q527" s="67"/>
      <c r="R527" s="67"/>
    </row>
    <row r="528" spans="4:18" ht="15.75" customHeight="1">
      <c r="D528" s="94"/>
      <c r="E528" s="95"/>
      <c r="F528" s="95"/>
      <c r="G528" s="67"/>
      <c r="H528" s="67"/>
      <c r="I528" s="67"/>
      <c r="J528" s="67"/>
      <c r="K528" s="67"/>
      <c r="L528" s="67"/>
      <c r="M528" s="67"/>
      <c r="N528" s="67"/>
      <c r="O528" s="67"/>
      <c r="P528" s="67"/>
      <c r="Q528" s="67"/>
      <c r="R528" s="67"/>
    </row>
    <row r="529" spans="4:18" ht="15.75" customHeight="1">
      <c r="D529" s="94"/>
      <c r="E529" s="95"/>
      <c r="F529" s="95"/>
      <c r="G529" s="67"/>
      <c r="H529" s="67"/>
      <c r="I529" s="67"/>
      <c r="J529" s="67"/>
      <c r="K529" s="67"/>
      <c r="L529" s="67"/>
      <c r="M529" s="67"/>
      <c r="N529" s="67"/>
      <c r="O529" s="67"/>
      <c r="P529" s="67"/>
      <c r="Q529" s="67"/>
      <c r="R529" s="67"/>
    </row>
    <row r="530" spans="4:18" ht="15.75" customHeight="1">
      <c r="D530" s="94"/>
      <c r="E530" s="95"/>
      <c r="F530" s="95"/>
      <c r="G530" s="67"/>
      <c r="H530" s="67"/>
      <c r="I530" s="67"/>
      <c r="J530" s="67"/>
      <c r="K530" s="67"/>
      <c r="L530" s="67"/>
      <c r="M530" s="67"/>
      <c r="N530" s="67"/>
      <c r="O530" s="67"/>
      <c r="P530" s="67"/>
      <c r="Q530" s="67"/>
      <c r="R530" s="67"/>
    </row>
    <row r="531" spans="4:18" ht="15.75" customHeight="1">
      <c r="D531" s="94"/>
      <c r="E531" s="95"/>
      <c r="F531" s="95"/>
      <c r="G531" s="67"/>
      <c r="H531" s="67"/>
      <c r="I531" s="67"/>
      <c r="J531" s="67"/>
      <c r="K531" s="67"/>
      <c r="L531" s="67"/>
      <c r="M531" s="67"/>
      <c r="N531" s="67"/>
      <c r="O531" s="67"/>
      <c r="P531" s="67"/>
      <c r="Q531" s="67"/>
      <c r="R531" s="67"/>
    </row>
    <row r="532" spans="4:18" ht="15.75" customHeight="1">
      <c r="D532" s="94"/>
      <c r="E532" s="95"/>
      <c r="F532" s="95"/>
      <c r="G532" s="67"/>
      <c r="H532" s="67"/>
      <c r="I532" s="67"/>
      <c r="J532" s="67"/>
      <c r="K532" s="67"/>
      <c r="L532" s="67"/>
      <c r="M532" s="67"/>
      <c r="N532" s="67"/>
      <c r="O532" s="67"/>
      <c r="P532" s="67"/>
      <c r="Q532" s="67"/>
      <c r="R532" s="67"/>
    </row>
    <row r="533" spans="4:18" ht="15.75" customHeight="1">
      <c r="D533" s="94"/>
      <c r="E533" s="95"/>
      <c r="F533" s="95"/>
      <c r="G533" s="67"/>
      <c r="H533" s="67"/>
      <c r="I533" s="67"/>
      <c r="J533" s="67"/>
      <c r="K533" s="67"/>
      <c r="L533" s="67"/>
      <c r="M533" s="67"/>
      <c r="N533" s="67"/>
      <c r="O533" s="67"/>
      <c r="P533" s="67"/>
      <c r="Q533" s="67"/>
      <c r="R533" s="67"/>
    </row>
    <row r="534" spans="4:18" ht="15.75" customHeight="1">
      <c r="D534" s="94"/>
      <c r="E534" s="95"/>
      <c r="F534" s="95"/>
      <c r="G534" s="67"/>
      <c r="H534" s="67"/>
      <c r="I534" s="67"/>
      <c r="J534" s="67"/>
      <c r="K534" s="67"/>
      <c r="L534" s="67"/>
      <c r="M534" s="67"/>
      <c r="N534" s="67"/>
      <c r="O534" s="67"/>
      <c r="P534" s="67"/>
      <c r="Q534" s="67"/>
      <c r="R534" s="67"/>
    </row>
    <row r="535" spans="4:18" ht="15.75" customHeight="1">
      <c r="D535" s="94"/>
      <c r="E535" s="95"/>
      <c r="F535" s="95"/>
      <c r="G535" s="67"/>
      <c r="H535" s="67"/>
      <c r="I535" s="67"/>
      <c r="J535" s="67"/>
      <c r="K535" s="67"/>
      <c r="L535" s="67"/>
      <c r="M535" s="67"/>
      <c r="N535" s="67"/>
      <c r="O535" s="67"/>
      <c r="P535" s="67"/>
      <c r="Q535" s="67"/>
      <c r="R535" s="67"/>
    </row>
    <row r="536" spans="4:18" ht="15.75" customHeight="1">
      <c r="D536" s="94"/>
      <c r="E536" s="95"/>
      <c r="F536" s="95"/>
      <c r="G536" s="67"/>
      <c r="H536" s="67"/>
      <c r="I536" s="67"/>
      <c r="J536" s="67"/>
      <c r="K536" s="67"/>
      <c r="L536" s="67"/>
      <c r="M536" s="67"/>
      <c r="N536" s="67"/>
      <c r="O536" s="67"/>
      <c r="P536" s="67"/>
      <c r="Q536" s="67"/>
      <c r="R536" s="67"/>
    </row>
    <row r="537" spans="4:18" ht="15.75" customHeight="1">
      <c r="D537" s="94"/>
      <c r="E537" s="95"/>
      <c r="F537" s="95"/>
      <c r="G537" s="67"/>
      <c r="H537" s="67"/>
      <c r="I537" s="67"/>
      <c r="J537" s="67"/>
      <c r="K537" s="67"/>
      <c r="L537" s="67"/>
      <c r="M537" s="67"/>
      <c r="N537" s="67"/>
      <c r="O537" s="67"/>
      <c r="P537" s="67"/>
      <c r="Q537" s="67"/>
      <c r="R537" s="67"/>
    </row>
    <row r="538" spans="4:18" ht="15.75" customHeight="1">
      <c r="D538" s="94"/>
      <c r="E538" s="95"/>
      <c r="F538" s="95"/>
      <c r="G538" s="67"/>
      <c r="H538" s="67"/>
      <c r="I538" s="67"/>
      <c r="J538" s="67"/>
      <c r="K538" s="67"/>
      <c r="L538" s="67"/>
      <c r="M538" s="67"/>
      <c r="N538" s="67"/>
      <c r="O538" s="67"/>
      <c r="P538" s="67"/>
      <c r="Q538" s="67"/>
      <c r="R538" s="67"/>
    </row>
    <row r="539" spans="4:18" ht="15.75" customHeight="1">
      <c r="D539" s="94"/>
      <c r="E539" s="95"/>
      <c r="F539" s="95"/>
      <c r="G539" s="67"/>
      <c r="H539" s="67"/>
      <c r="I539" s="67"/>
      <c r="J539" s="67"/>
      <c r="K539" s="67"/>
      <c r="L539" s="67"/>
      <c r="M539" s="67"/>
      <c r="N539" s="67"/>
      <c r="O539" s="67"/>
      <c r="P539" s="67"/>
      <c r="Q539" s="67"/>
      <c r="R539" s="67"/>
    </row>
    <row r="540" spans="4:18" ht="15.75" customHeight="1">
      <c r="D540" s="94"/>
      <c r="E540" s="95"/>
      <c r="F540" s="95"/>
      <c r="G540" s="67"/>
      <c r="H540" s="67"/>
      <c r="I540" s="67"/>
      <c r="J540" s="67"/>
      <c r="K540" s="67"/>
      <c r="L540" s="67"/>
      <c r="M540" s="67"/>
      <c r="N540" s="67"/>
      <c r="O540" s="67"/>
      <c r="P540" s="67"/>
      <c r="Q540" s="67"/>
      <c r="R540" s="67"/>
    </row>
    <row r="541" spans="4:18" ht="15.75" customHeight="1">
      <c r="D541" s="94"/>
      <c r="E541" s="95"/>
      <c r="F541" s="95"/>
      <c r="G541" s="67"/>
      <c r="H541" s="67"/>
      <c r="I541" s="67"/>
      <c r="J541" s="67"/>
      <c r="K541" s="67"/>
      <c r="L541" s="67"/>
      <c r="M541" s="67"/>
      <c r="N541" s="67"/>
      <c r="O541" s="67"/>
      <c r="P541" s="67"/>
      <c r="Q541" s="67"/>
      <c r="R541" s="67"/>
    </row>
    <row r="542" spans="4:18" ht="15.75" customHeight="1">
      <c r="D542" s="94"/>
      <c r="E542" s="95"/>
      <c r="F542" s="95"/>
      <c r="G542" s="67"/>
      <c r="H542" s="67"/>
      <c r="I542" s="67"/>
      <c r="J542" s="67"/>
      <c r="K542" s="67"/>
      <c r="L542" s="67"/>
      <c r="M542" s="67"/>
      <c r="N542" s="67"/>
      <c r="O542" s="67"/>
      <c r="P542" s="67"/>
      <c r="Q542" s="67"/>
      <c r="R542" s="67"/>
    </row>
    <row r="543" spans="4:18" ht="15.75" customHeight="1">
      <c r="D543" s="94"/>
      <c r="E543" s="95"/>
      <c r="F543" s="95"/>
      <c r="G543" s="67"/>
      <c r="H543" s="67"/>
      <c r="I543" s="67"/>
      <c r="J543" s="67"/>
      <c r="K543" s="67"/>
      <c r="L543" s="67"/>
      <c r="M543" s="67"/>
      <c r="N543" s="67"/>
      <c r="O543" s="67"/>
      <c r="P543" s="67"/>
      <c r="Q543" s="67"/>
      <c r="R543" s="67"/>
    </row>
    <row r="544" spans="4:18" ht="15.75" customHeight="1">
      <c r="D544" s="94"/>
      <c r="E544" s="95"/>
      <c r="F544" s="95"/>
      <c r="G544" s="67"/>
      <c r="H544" s="67"/>
      <c r="I544" s="67"/>
      <c r="J544" s="67"/>
      <c r="K544" s="67"/>
      <c r="L544" s="67"/>
      <c r="M544" s="67"/>
      <c r="N544" s="67"/>
      <c r="O544" s="67"/>
      <c r="P544" s="67"/>
      <c r="Q544" s="67"/>
      <c r="R544" s="67"/>
    </row>
    <row r="545" spans="4:18" ht="15.75" customHeight="1">
      <c r="D545" s="94"/>
      <c r="E545" s="95"/>
      <c r="F545" s="95"/>
      <c r="G545" s="67"/>
      <c r="H545" s="67"/>
      <c r="I545" s="67"/>
      <c r="J545" s="67"/>
      <c r="K545" s="67"/>
      <c r="L545" s="67"/>
      <c r="M545" s="67"/>
      <c r="N545" s="67"/>
      <c r="O545" s="67"/>
      <c r="P545" s="67"/>
      <c r="Q545" s="67"/>
      <c r="R545" s="67"/>
    </row>
    <row r="546" spans="4:18" ht="15.75" customHeight="1">
      <c r="D546" s="94"/>
      <c r="E546" s="95"/>
      <c r="F546" s="95"/>
      <c r="G546" s="67"/>
      <c r="H546" s="67"/>
      <c r="I546" s="67"/>
      <c r="J546" s="67"/>
      <c r="K546" s="67"/>
      <c r="L546" s="67"/>
      <c r="M546" s="67"/>
      <c r="N546" s="67"/>
      <c r="O546" s="67"/>
      <c r="P546" s="67"/>
      <c r="Q546" s="67"/>
      <c r="R546" s="67"/>
    </row>
    <row r="547" spans="4:18" ht="15.75" customHeight="1">
      <c r="D547" s="94"/>
      <c r="E547" s="95"/>
      <c r="F547" s="95"/>
      <c r="G547" s="67"/>
      <c r="H547" s="67"/>
      <c r="I547" s="67"/>
      <c r="J547" s="67"/>
      <c r="K547" s="67"/>
      <c r="L547" s="67"/>
      <c r="M547" s="67"/>
      <c r="N547" s="67"/>
      <c r="O547" s="67"/>
      <c r="P547" s="67"/>
      <c r="Q547" s="67"/>
      <c r="R547" s="67"/>
    </row>
    <row r="548" spans="4:18" ht="15.75" customHeight="1">
      <c r="D548" s="94"/>
      <c r="E548" s="95"/>
      <c r="F548" s="95"/>
      <c r="G548" s="67"/>
      <c r="H548" s="67"/>
      <c r="I548" s="67"/>
      <c r="J548" s="67"/>
      <c r="K548" s="67"/>
      <c r="L548" s="67"/>
      <c r="M548" s="67"/>
      <c r="N548" s="67"/>
      <c r="O548" s="67"/>
      <c r="P548" s="67"/>
      <c r="Q548" s="67"/>
      <c r="R548" s="67"/>
    </row>
    <row r="549" spans="4:18" ht="15.75" customHeight="1">
      <c r="D549" s="94"/>
      <c r="E549" s="95"/>
      <c r="F549" s="95"/>
      <c r="G549" s="67"/>
      <c r="H549" s="67"/>
      <c r="I549" s="67"/>
      <c r="J549" s="67"/>
      <c r="K549" s="67"/>
      <c r="L549" s="67"/>
      <c r="M549" s="67"/>
      <c r="N549" s="67"/>
      <c r="O549" s="67"/>
      <c r="P549" s="67"/>
      <c r="Q549" s="67"/>
      <c r="R549" s="67"/>
    </row>
    <row r="550" spans="4:18" ht="15.75" customHeight="1">
      <c r="D550" s="94"/>
      <c r="E550" s="95"/>
      <c r="F550" s="95"/>
      <c r="G550" s="67"/>
      <c r="H550" s="67"/>
      <c r="I550" s="67"/>
      <c r="J550" s="67"/>
      <c r="K550" s="67"/>
      <c r="L550" s="67"/>
      <c r="M550" s="67"/>
      <c r="N550" s="67"/>
      <c r="O550" s="67"/>
      <c r="P550" s="67"/>
      <c r="Q550" s="67"/>
      <c r="R550" s="67"/>
    </row>
    <row r="551" spans="4:18" ht="15.75" customHeight="1">
      <c r="D551" s="94"/>
      <c r="E551" s="95"/>
      <c r="F551" s="95"/>
      <c r="G551" s="67"/>
      <c r="H551" s="67"/>
      <c r="I551" s="67"/>
      <c r="J551" s="67"/>
      <c r="K551" s="67"/>
      <c r="L551" s="67"/>
      <c r="M551" s="67"/>
      <c r="N551" s="67"/>
      <c r="O551" s="67"/>
      <c r="P551" s="67"/>
      <c r="Q551" s="67"/>
      <c r="R551" s="67"/>
    </row>
    <row r="552" spans="4:18" ht="15.75" customHeight="1">
      <c r="D552" s="94"/>
      <c r="E552" s="95"/>
      <c r="F552" s="95"/>
      <c r="G552" s="67"/>
      <c r="H552" s="67"/>
      <c r="I552" s="67"/>
      <c r="J552" s="67"/>
      <c r="K552" s="67"/>
      <c r="L552" s="67"/>
      <c r="M552" s="67"/>
      <c r="N552" s="67"/>
      <c r="O552" s="67"/>
      <c r="P552" s="67"/>
      <c r="Q552" s="67"/>
      <c r="R552" s="67"/>
    </row>
    <row r="553" spans="4:18" ht="15.75" customHeight="1">
      <c r="D553" s="94"/>
      <c r="E553" s="95"/>
      <c r="F553" s="95"/>
      <c r="G553" s="67"/>
      <c r="H553" s="67"/>
      <c r="I553" s="67"/>
      <c r="J553" s="67"/>
      <c r="K553" s="67"/>
      <c r="L553" s="67"/>
      <c r="M553" s="67"/>
      <c r="N553" s="67"/>
      <c r="O553" s="67"/>
      <c r="P553" s="67"/>
      <c r="Q553" s="67"/>
      <c r="R553" s="67"/>
    </row>
    <row r="554" spans="4:18" ht="15.75" customHeight="1">
      <c r="D554" s="94"/>
      <c r="E554" s="95"/>
      <c r="F554" s="95"/>
      <c r="G554" s="67"/>
      <c r="H554" s="67"/>
      <c r="I554" s="67"/>
      <c r="J554" s="67"/>
      <c r="K554" s="67"/>
      <c r="L554" s="67"/>
      <c r="M554" s="67"/>
      <c r="N554" s="67"/>
      <c r="O554" s="67"/>
      <c r="P554" s="67"/>
      <c r="Q554" s="67"/>
      <c r="R554" s="67"/>
    </row>
    <row r="555" spans="4:18" ht="15.75" customHeight="1">
      <c r="D555" s="94"/>
      <c r="E555" s="95"/>
      <c r="F555" s="95"/>
      <c r="G555" s="67"/>
      <c r="H555" s="67"/>
      <c r="I555" s="67"/>
      <c r="J555" s="67"/>
      <c r="K555" s="67"/>
      <c r="L555" s="67"/>
      <c r="M555" s="67"/>
      <c r="N555" s="67"/>
      <c r="O555" s="67"/>
      <c r="P555" s="67"/>
      <c r="Q555" s="67"/>
      <c r="R555" s="67"/>
    </row>
    <row r="556" spans="4:18" ht="15.75" customHeight="1">
      <c r="D556" s="94"/>
      <c r="E556" s="95"/>
      <c r="F556" s="95"/>
      <c r="G556" s="67"/>
      <c r="H556" s="67"/>
      <c r="I556" s="67"/>
      <c r="J556" s="67"/>
      <c r="K556" s="67"/>
      <c r="L556" s="67"/>
      <c r="M556" s="67"/>
      <c r="N556" s="67"/>
      <c r="O556" s="67"/>
      <c r="P556" s="67"/>
      <c r="Q556" s="67"/>
      <c r="R556" s="67"/>
    </row>
    <row r="557" spans="4:18" ht="15.75" customHeight="1">
      <c r="D557" s="94"/>
      <c r="E557" s="95"/>
      <c r="F557" s="95"/>
      <c r="G557" s="67"/>
      <c r="H557" s="67"/>
      <c r="I557" s="67"/>
      <c r="J557" s="67"/>
      <c r="K557" s="67"/>
      <c r="L557" s="67"/>
      <c r="M557" s="67"/>
      <c r="N557" s="67"/>
      <c r="O557" s="67"/>
      <c r="P557" s="67"/>
      <c r="Q557" s="67"/>
      <c r="R557" s="67"/>
    </row>
    <row r="558" spans="4:18" ht="15.75" customHeight="1">
      <c r="D558" s="94"/>
      <c r="E558" s="95"/>
      <c r="F558" s="95"/>
      <c r="G558" s="67"/>
      <c r="H558" s="67"/>
      <c r="I558" s="67"/>
      <c r="J558" s="67"/>
      <c r="K558" s="67"/>
      <c r="L558" s="67"/>
      <c r="M558" s="67"/>
      <c r="N558" s="67"/>
      <c r="O558" s="67"/>
      <c r="P558" s="67"/>
      <c r="Q558" s="67"/>
      <c r="R558" s="67"/>
    </row>
    <row r="559" spans="4:18" ht="15.75" customHeight="1">
      <c r="D559" s="94"/>
      <c r="E559" s="95"/>
      <c r="F559" s="95"/>
      <c r="G559" s="67"/>
      <c r="H559" s="67"/>
      <c r="I559" s="67"/>
      <c r="J559" s="67"/>
      <c r="K559" s="67"/>
      <c r="L559" s="67"/>
      <c r="M559" s="67"/>
      <c r="N559" s="67"/>
      <c r="O559" s="67"/>
      <c r="P559" s="67"/>
      <c r="Q559" s="67"/>
      <c r="R559" s="67"/>
    </row>
    <row r="560" spans="4:18" ht="15.75" customHeight="1">
      <c r="D560" s="94"/>
      <c r="E560" s="95"/>
      <c r="F560" s="95"/>
      <c r="G560" s="67"/>
      <c r="H560" s="67"/>
      <c r="I560" s="67"/>
      <c r="J560" s="67"/>
      <c r="K560" s="67"/>
      <c r="L560" s="67"/>
      <c r="M560" s="67"/>
      <c r="N560" s="67"/>
      <c r="O560" s="67"/>
      <c r="P560" s="67"/>
      <c r="Q560" s="67"/>
      <c r="R560" s="67"/>
    </row>
    <row r="561" spans="4:18" ht="15.75" customHeight="1">
      <c r="D561" s="94"/>
      <c r="E561" s="95"/>
      <c r="F561" s="95"/>
      <c r="G561" s="67"/>
      <c r="H561" s="67"/>
      <c r="I561" s="67"/>
      <c r="J561" s="67"/>
      <c r="K561" s="67"/>
      <c r="L561" s="67"/>
      <c r="M561" s="67"/>
      <c r="N561" s="67"/>
      <c r="O561" s="67"/>
      <c r="P561" s="67"/>
      <c r="Q561" s="67"/>
      <c r="R561" s="67"/>
    </row>
    <row r="562" spans="4:18" ht="15.75" customHeight="1">
      <c r="D562" s="94"/>
      <c r="E562" s="95"/>
      <c r="F562" s="95"/>
      <c r="G562" s="67"/>
      <c r="H562" s="67"/>
      <c r="I562" s="67"/>
      <c r="J562" s="67"/>
      <c r="K562" s="67"/>
      <c r="L562" s="67"/>
      <c r="M562" s="67"/>
      <c r="N562" s="67"/>
      <c r="O562" s="67"/>
      <c r="P562" s="67"/>
      <c r="Q562" s="67"/>
      <c r="R562" s="67"/>
    </row>
    <row r="563" spans="4:18" ht="15.75" customHeight="1">
      <c r="D563" s="94"/>
      <c r="E563" s="95"/>
      <c r="F563" s="95"/>
      <c r="G563" s="67"/>
      <c r="H563" s="67"/>
      <c r="I563" s="67"/>
      <c r="J563" s="67"/>
      <c r="K563" s="67"/>
      <c r="L563" s="67"/>
      <c r="M563" s="67"/>
      <c r="N563" s="67"/>
      <c r="O563" s="67"/>
      <c r="P563" s="67"/>
      <c r="Q563" s="67"/>
      <c r="R563" s="67"/>
    </row>
    <row r="564" spans="4:18" ht="15.75" customHeight="1">
      <c r="D564" s="94"/>
      <c r="E564" s="95"/>
      <c r="F564" s="95"/>
      <c r="G564" s="67"/>
      <c r="H564" s="67"/>
      <c r="I564" s="67"/>
      <c r="J564" s="67"/>
      <c r="K564" s="67"/>
      <c r="L564" s="67"/>
      <c r="M564" s="67"/>
      <c r="N564" s="67"/>
      <c r="O564" s="67"/>
      <c r="P564" s="67"/>
      <c r="Q564" s="67"/>
      <c r="R564" s="67"/>
    </row>
    <row r="565" spans="4:18" ht="15.75" customHeight="1">
      <c r="D565" s="94"/>
      <c r="E565" s="95"/>
      <c r="F565" s="95"/>
      <c r="G565" s="67"/>
      <c r="H565" s="67"/>
      <c r="I565" s="67"/>
      <c r="J565" s="67"/>
      <c r="K565" s="67"/>
      <c r="L565" s="67"/>
      <c r="M565" s="67"/>
      <c r="N565" s="67"/>
      <c r="O565" s="67"/>
      <c r="P565" s="67"/>
      <c r="Q565" s="67"/>
      <c r="R565" s="67"/>
    </row>
    <row r="566" spans="4:18" ht="15.75" customHeight="1">
      <c r="D566" s="94"/>
      <c r="E566" s="95"/>
      <c r="F566" s="95"/>
      <c r="G566" s="67"/>
      <c r="H566" s="67"/>
      <c r="I566" s="67"/>
      <c r="J566" s="67"/>
      <c r="K566" s="67"/>
      <c r="L566" s="67"/>
      <c r="M566" s="67"/>
      <c r="N566" s="67"/>
      <c r="O566" s="67"/>
      <c r="P566" s="67"/>
      <c r="Q566" s="67"/>
      <c r="R566" s="67"/>
    </row>
    <row r="567" spans="4:18" ht="15.75" customHeight="1">
      <c r="D567" s="94"/>
      <c r="E567" s="95"/>
      <c r="F567" s="95"/>
      <c r="G567" s="67"/>
      <c r="H567" s="67"/>
      <c r="I567" s="67"/>
      <c r="J567" s="67"/>
      <c r="K567" s="67"/>
      <c r="L567" s="67"/>
      <c r="M567" s="67"/>
      <c r="N567" s="67"/>
      <c r="O567" s="67"/>
      <c r="P567" s="67"/>
      <c r="Q567" s="67"/>
      <c r="R567" s="67"/>
    </row>
    <row r="568" spans="4:18" ht="15.75" customHeight="1">
      <c r="D568" s="94"/>
      <c r="E568" s="95"/>
      <c r="F568" s="95"/>
      <c r="G568" s="67"/>
      <c r="H568" s="67"/>
      <c r="I568" s="67"/>
      <c r="J568" s="67"/>
      <c r="K568" s="67"/>
      <c r="L568" s="67"/>
      <c r="M568" s="67"/>
      <c r="N568" s="67"/>
      <c r="O568" s="67"/>
      <c r="P568" s="67"/>
      <c r="Q568" s="67"/>
      <c r="R568" s="67"/>
    </row>
    <row r="569" spans="4:18" ht="15.75" customHeight="1">
      <c r="D569" s="94"/>
      <c r="E569" s="95"/>
      <c r="F569" s="95"/>
      <c r="G569" s="67"/>
      <c r="H569" s="67"/>
      <c r="I569" s="67"/>
      <c r="J569" s="67"/>
      <c r="K569" s="67"/>
      <c r="L569" s="67"/>
      <c r="M569" s="67"/>
      <c r="N569" s="67"/>
      <c r="O569" s="67"/>
      <c r="P569" s="67"/>
      <c r="Q569" s="67"/>
      <c r="R569" s="67"/>
    </row>
    <row r="570" spans="4:18" ht="15.75" customHeight="1">
      <c r="D570" s="94"/>
      <c r="E570" s="95"/>
      <c r="F570" s="95"/>
      <c r="G570" s="67"/>
      <c r="H570" s="67"/>
      <c r="I570" s="67"/>
      <c r="J570" s="67"/>
      <c r="K570" s="67"/>
      <c r="L570" s="67"/>
      <c r="M570" s="67"/>
      <c r="N570" s="67"/>
      <c r="O570" s="67"/>
      <c r="P570" s="67"/>
      <c r="Q570" s="67"/>
      <c r="R570" s="67"/>
    </row>
    <row r="571" spans="4:18" ht="15.75" customHeight="1">
      <c r="D571" s="94"/>
      <c r="E571" s="95"/>
      <c r="F571" s="95"/>
      <c r="G571" s="67"/>
      <c r="H571" s="67"/>
      <c r="I571" s="67"/>
      <c r="J571" s="67"/>
      <c r="K571" s="67"/>
      <c r="L571" s="67"/>
      <c r="M571" s="67"/>
      <c r="N571" s="67"/>
      <c r="O571" s="67"/>
      <c r="P571" s="67"/>
      <c r="Q571" s="67"/>
      <c r="R571" s="67"/>
    </row>
    <row r="572" spans="4:18" ht="15.75" customHeight="1">
      <c r="D572" s="94"/>
      <c r="E572" s="95"/>
      <c r="F572" s="95"/>
      <c r="G572" s="67"/>
      <c r="H572" s="67"/>
      <c r="I572" s="67"/>
      <c r="J572" s="67"/>
      <c r="K572" s="67"/>
      <c r="L572" s="67"/>
      <c r="M572" s="67"/>
      <c r="N572" s="67"/>
      <c r="O572" s="67"/>
      <c r="P572" s="67"/>
      <c r="Q572" s="67"/>
      <c r="R572" s="67"/>
    </row>
    <row r="573" spans="4:18" ht="15.75" customHeight="1">
      <c r="D573" s="94"/>
      <c r="E573" s="95"/>
      <c r="F573" s="95"/>
      <c r="G573" s="67"/>
      <c r="H573" s="67"/>
      <c r="I573" s="67"/>
      <c r="J573" s="67"/>
      <c r="K573" s="67"/>
      <c r="L573" s="67"/>
      <c r="M573" s="67"/>
      <c r="N573" s="67"/>
      <c r="O573" s="67"/>
      <c r="P573" s="67"/>
      <c r="Q573" s="67"/>
      <c r="R573" s="67"/>
    </row>
    <row r="574" spans="4:18" ht="15.75" customHeight="1">
      <c r="D574" s="94"/>
      <c r="E574" s="95"/>
      <c r="F574" s="95"/>
      <c r="G574" s="67"/>
      <c r="H574" s="67"/>
      <c r="I574" s="67"/>
      <c r="J574" s="67"/>
      <c r="K574" s="67"/>
      <c r="L574" s="67"/>
      <c r="M574" s="67"/>
      <c r="N574" s="67"/>
      <c r="O574" s="67"/>
      <c r="P574" s="67"/>
      <c r="Q574" s="67"/>
      <c r="R574" s="67"/>
    </row>
    <row r="575" spans="4:18" ht="15.75" customHeight="1">
      <c r="D575" s="94"/>
      <c r="E575" s="95"/>
      <c r="F575" s="95"/>
      <c r="G575" s="67"/>
      <c r="H575" s="67"/>
      <c r="I575" s="67"/>
      <c r="J575" s="67"/>
      <c r="K575" s="67"/>
      <c r="L575" s="67"/>
      <c r="M575" s="67"/>
      <c r="N575" s="67"/>
      <c r="O575" s="67"/>
      <c r="P575" s="67"/>
      <c r="Q575" s="67"/>
      <c r="R575" s="67"/>
    </row>
    <row r="576" spans="4:18" ht="15.75" customHeight="1">
      <c r="D576" s="94"/>
      <c r="E576" s="95"/>
      <c r="F576" s="95"/>
      <c r="G576" s="67"/>
      <c r="H576" s="67"/>
      <c r="I576" s="67"/>
      <c r="J576" s="67"/>
      <c r="K576" s="67"/>
      <c r="L576" s="67"/>
      <c r="M576" s="67"/>
      <c r="N576" s="67"/>
      <c r="O576" s="67"/>
      <c r="P576" s="67"/>
      <c r="Q576" s="67"/>
      <c r="R576" s="67"/>
    </row>
    <row r="577" spans="4:18" ht="15.75" customHeight="1">
      <c r="D577" s="94"/>
      <c r="E577" s="95"/>
      <c r="F577" s="95"/>
      <c r="G577" s="67"/>
      <c r="H577" s="67"/>
      <c r="I577" s="67"/>
      <c r="J577" s="67"/>
      <c r="K577" s="67"/>
      <c r="L577" s="67"/>
      <c r="M577" s="67"/>
      <c r="N577" s="67"/>
      <c r="O577" s="67"/>
      <c r="P577" s="67"/>
      <c r="Q577" s="67"/>
      <c r="R577" s="67"/>
    </row>
    <row r="578" spans="4:18" ht="15.75" customHeight="1">
      <c r="D578" s="94"/>
      <c r="E578" s="95"/>
      <c r="F578" s="95"/>
      <c r="G578" s="67"/>
      <c r="H578" s="67"/>
      <c r="I578" s="67"/>
      <c r="J578" s="67"/>
      <c r="K578" s="67"/>
      <c r="L578" s="67"/>
      <c r="M578" s="67"/>
      <c r="N578" s="67"/>
      <c r="O578" s="67"/>
      <c r="P578" s="67"/>
      <c r="Q578" s="67"/>
      <c r="R578" s="67"/>
    </row>
    <row r="579" spans="4:18" ht="15.75" customHeight="1">
      <c r="D579" s="94"/>
      <c r="E579" s="95"/>
      <c r="F579" s="95"/>
      <c r="G579" s="67"/>
      <c r="H579" s="67"/>
      <c r="I579" s="67"/>
      <c r="J579" s="67"/>
      <c r="K579" s="67"/>
      <c r="L579" s="67"/>
      <c r="M579" s="67"/>
      <c r="N579" s="67"/>
      <c r="O579" s="67"/>
      <c r="P579" s="67"/>
      <c r="Q579" s="67"/>
      <c r="R579" s="67"/>
    </row>
    <row r="580" spans="4:18" ht="15.75" customHeight="1">
      <c r="D580" s="94"/>
      <c r="E580" s="95"/>
      <c r="F580" s="95"/>
      <c r="G580" s="67"/>
      <c r="H580" s="67"/>
      <c r="I580" s="67"/>
      <c r="J580" s="67"/>
      <c r="K580" s="67"/>
      <c r="L580" s="67"/>
      <c r="M580" s="67"/>
      <c r="N580" s="67"/>
      <c r="O580" s="67"/>
      <c r="P580" s="67"/>
      <c r="Q580" s="67"/>
      <c r="R580" s="67"/>
    </row>
    <row r="581" spans="4:18" ht="15.75" customHeight="1">
      <c r="D581" s="94"/>
      <c r="E581" s="95"/>
      <c r="F581" s="95"/>
      <c r="G581" s="67"/>
      <c r="H581" s="67"/>
      <c r="I581" s="67"/>
      <c r="J581" s="67"/>
      <c r="K581" s="67"/>
      <c r="L581" s="67"/>
      <c r="M581" s="67"/>
      <c r="N581" s="67"/>
      <c r="O581" s="67"/>
      <c r="P581" s="67"/>
      <c r="Q581" s="67"/>
      <c r="R581" s="67"/>
    </row>
    <row r="582" spans="4:18" ht="15.75" customHeight="1">
      <c r="D582" s="94"/>
      <c r="E582" s="95"/>
      <c r="F582" s="95"/>
      <c r="G582" s="67"/>
      <c r="H582" s="67"/>
      <c r="I582" s="67"/>
      <c r="J582" s="67"/>
      <c r="K582" s="67"/>
      <c r="L582" s="67"/>
      <c r="M582" s="67"/>
      <c r="N582" s="67"/>
      <c r="O582" s="67"/>
      <c r="P582" s="67"/>
      <c r="Q582" s="67"/>
      <c r="R582" s="67"/>
    </row>
    <row r="583" spans="4:18" ht="15.75" customHeight="1">
      <c r="D583" s="94"/>
      <c r="E583" s="95"/>
      <c r="F583" s="95"/>
      <c r="G583" s="67"/>
      <c r="H583" s="67"/>
      <c r="I583" s="67"/>
      <c r="J583" s="67"/>
      <c r="K583" s="67"/>
      <c r="L583" s="67"/>
      <c r="M583" s="67"/>
      <c r="N583" s="67"/>
      <c r="O583" s="67"/>
      <c r="P583" s="67"/>
      <c r="Q583" s="67"/>
      <c r="R583" s="67"/>
    </row>
    <row r="584" spans="4:18" ht="15.75" customHeight="1">
      <c r="D584" s="94"/>
      <c r="E584" s="95"/>
      <c r="F584" s="95"/>
      <c r="G584" s="67"/>
      <c r="H584" s="67"/>
      <c r="I584" s="67"/>
      <c r="J584" s="67"/>
      <c r="K584" s="67"/>
      <c r="L584" s="67"/>
      <c r="M584" s="67"/>
      <c r="N584" s="67"/>
      <c r="O584" s="67"/>
      <c r="P584" s="67"/>
      <c r="Q584" s="67"/>
      <c r="R584" s="67"/>
    </row>
    <row r="585" spans="4:18" ht="15.75" customHeight="1">
      <c r="D585" s="94"/>
      <c r="E585" s="95"/>
      <c r="F585" s="95"/>
      <c r="G585" s="67"/>
      <c r="H585" s="67"/>
      <c r="I585" s="67"/>
      <c r="J585" s="67"/>
      <c r="K585" s="67"/>
      <c r="L585" s="67"/>
      <c r="M585" s="67"/>
      <c r="N585" s="67"/>
      <c r="O585" s="67"/>
      <c r="P585" s="67"/>
      <c r="Q585" s="67"/>
      <c r="R585" s="67"/>
    </row>
    <row r="586" spans="4:18" ht="15.75" customHeight="1">
      <c r="D586" s="94"/>
      <c r="E586" s="95"/>
      <c r="F586" s="95"/>
      <c r="G586" s="67"/>
      <c r="H586" s="67"/>
      <c r="I586" s="67"/>
      <c r="J586" s="67"/>
      <c r="K586" s="67"/>
      <c r="L586" s="67"/>
      <c r="M586" s="67"/>
      <c r="N586" s="67"/>
      <c r="O586" s="67"/>
      <c r="P586" s="67"/>
      <c r="Q586" s="67"/>
      <c r="R586" s="67"/>
    </row>
    <row r="587" spans="4:18" ht="15.75" customHeight="1">
      <c r="D587" s="94"/>
      <c r="E587" s="95"/>
      <c r="F587" s="95"/>
      <c r="G587" s="67"/>
      <c r="H587" s="67"/>
      <c r="I587" s="67"/>
      <c r="J587" s="67"/>
      <c r="K587" s="67"/>
      <c r="L587" s="67"/>
      <c r="M587" s="67"/>
      <c r="N587" s="67"/>
      <c r="O587" s="67"/>
      <c r="P587" s="67"/>
      <c r="Q587" s="67"/>
      <c r="R587" s="67"/>
    </row>
    <row r="588" spans="4:18" ht="15.75" customHeight="1">
      <c r="D588" s="94"/>
      <c r="E588" s="95"/>
      <c r="F588" s="95"/>
      <c r="G588" s="67"/>
      <c r="H588" s="67"/>
      <c r="I588" s="67"/>
      <c r="J588" s="67"/>
      <c r="K588" s="67"/>
      <c r="L588" s="67"/>
      <c r="M588" s="67"/>
      <c r="N588" s="67"/>
      <c r="O588" s="67"/>
      <c r="P588" s="67"/>
      <c r="Q588" s="67"/>
      <c r="R588" s="67"/>
    </row>
    <row r="589" spans="4:18" ht="15.75" customHeight="1">
      <c r="D589" s="94"/>
      <c r="E589" s="95"/>
      <c r="F589" s="95"/>
      <c r="G589" s="67"/>
      <c r="H589" s="67"/>
      <c r="I589" s="67"/>
      <c r="J589" s="67"/>
      <c r="K589" s="67"/>
      <c r="L589" s="67"/>
      <c r="M589" s="67"/>
      <c r="N589" s="67"/>
      <c r="O589" s="67"/>
      <c r="P589" s="67"/>
      <c r="Q589" s="67"/>
      <c r="R589" s="67"/>
    </row>
    <row r="590" spans="4:18" ht="15.75" customHeight="1">
      <c r="D590" s="94"/>
      <c r="E590" s="95"/>
      <c r="F590" s="95"/>
      <c r="G590" s="67"/>
      <c r="H590" s="67"/>
      <c r="I590" s="67"/>
      <c r="J590" s="67"/>
      <c r="K590" s="67"/>
      <c r="L590" s="67"/>
      <c r="M590" s="67"/>
      <c r="N590" s="67"/>
      <c r="O590" s="67"/>
      <c r="P590" s="67"/>
      <c r="Q590" s="67"/>
      <c r="R590" s="67"/>
    </row>
    <row r="591" spans="4:18" ht="15.75" customHeight="1">
      <c r="D591" s="94"/>
      <c r="E591" s="95"/>
      <c r="F591" s="95"/>
      <c r="G591" s="67"/>
      <c r="H591" s="67"/>
      <c r="I591" s="67"/>
      <c r="J591" s="67"/>
      <c r="K591" s="67"/>
      <c r="L591" s="67"/>
      <c r="M591" s="67"/>
      <c r="N591" s="67"/>
      <c r="O591" s="67"/>
      <c r="P591" s="67"/>
      <c r="Q591" s="67"/>
      <c r="R591" s="67"/>
    </row>
    <row r="592" spans="4:18" ht="15.75" customHeight="1">
      <c r="D592" s="94"/>
      <c r="E592" s="95"/>
      <c r="F592" s="95"/>
      <c r="G592" s="67"/>
      <c r="H592" s="67"/>
      <c r="I592" s="67"/>
      <c r="J592" s="67"/>
      <c r="K592" s="67"/>
      <c r="L592" s="67"/>
      <c r="M592" s="67"/>
      <c r="N592" s="67"/>
      <c r="O592" s="67"/>
      <c r="P592" s="67"/>
      <c r="Q592" s="67"/>
      <c r="R592" s="67"/>
    </row>
    <row r="593" spans="4:18" ht="15.75" customHeight="1">
      <c r="D593" s="94"/>
      <c r="E593" s="95"/>
      <c r="F593" s="95"/>
      <c r="G593" s="67"/>
      <c r="H593" s="67"/>
      <c r="I593" s="67"/>
      <c r="J593" s="67"/>
      <c r="K593" s="67"/>
      <c r="L593" s="67"/>
      <c r="M593" s="67"/>
      <c r="N593" s="67"/>
      <c r="O593" s="67"/>
      <c r="P593" s="67"/>
      <c r="Q593" s="67"/>
      <c r="R593" s="67"/>
    </row>
    <row r="594" spans="4:18" ht="15.75" customHeight="1">
      <c r="D594" s="94"/>
      <c r="E594" s="95"/>
      <c r="F594" s="95"/>
      <c r="G594" s="67"/>
      <c r="H594" s="67"/>
      <c r="I594" s="67"/>
      <c r="J594" s="67"/>
      <c r="K594" s="67"/>
      <c r="L594" s="67"/>
      <c r="M594" s="67"/>
      <c r="N594" s="67"/>
      <c r="O594" s="67"/>
      <c r="P594" s="67"/>
      <c r="Q594" s="67"/>
      <c r="R594" s="67"/>
    </row>
    <row r="595" spans="4:18" ht="15.75" customHeight="1">
      <c r="D595" s="94"/>
      <c r="E595" s="95"/>
      <c r="F595" s="95"/>
      <c r="G595" s="67"/>
      <c r="H595" s="67"/>
      <c r="I595" s="67"/>
      <c r="J595" s="67"/>
      <c r="K595" s="67"/>
      <c r="L595" s="67"/>
      <c r="M595" s="67"/>
      <c r="N595" s="67"/>
      <c r="O595" s="67"/>
      <c r="P595" s="67"/>
      <c r="Q595" s="67"/>
      <c r="R595" s="67"/>
    </row>
    <row r="596" spans="4:18" ht="15.75" customHeight="1">
      <c r="D596" s="94"/>
      <c r="E596" s="95"/>
      <c r="F596" s="95"/>
      <c r="G596" s="67"/>
      <c r="H596" s="67"/>
      <c r="I596" s="67"/>
      <c r="J596" s="67"/>
      <c r="K596" s="67"/>
      <c r="L596" s="67"/>
      <c r="M596" s="67"/>
      <c r="N596" s="67"/>
      <c r="O596" s="67"/>
      <c r="P596" s="67"/>
      <c r="Q596" s="67"/>
      <c r="R596" s="67"/>
    </row>
    <row r="597" spans="4:18" ht="15.75" customHeight="1">
      <c r="D597" s="94"/>
      <c r="E597" s="95"/>
      <c r="F597" s="95"/>
      <c r="G597" s="67"/>
      <c r="H597" s="67"/>
      <c r="I597" s="67"/>
      <c r="J597" s="67"/>
      <c r="K597" s="67"/>
      <c r="L597" s="67"/>
      <c r="M597" s="67"/>
      <c r="N597" s="67"/>
      <c r="O597" s="67"/>
      <c r="P597" s="67"/>
      <c r="Q597" s="67"/>
      <c r="R597" s="67"/>
    </row>
    <row r="598" spans="4:18" ht="15.75" customHeight="1">
      <c r="D598" s="94"/>
      <c r="E598" s="95"/>
      <c r="F598" s="95"/>
      <c r="G598" s="67"/>
      <c r="H598" s="67"/>
      <c r="I598" s="67"/>
      <c r="J598" s="67"/>
      <c r="K598" s="67"/>
      <c r="L598" s="67"/>
      <c r="M598" s="67"/>
      <c r="N598" s="67"/>
      <c r="O598" s="67"/>
      <c r="P598" s="67"/>
      <c r="Q598" s="67"/>
      <c r="R598" s="67"/>
    </row>
    <row r="599" spans="4:18" ht="15.75" customHeight="1">
      <c r="D599" s="94"/>
      <c r="E599" s="95"/>
      <c r="F599" s="95"/>
      <c r="G599" s="67"/>
      <c r="H599" s="67"/>
      <c r="I599" s="67"/>
      <c r="J599" s="67"/>
      <c r="K599" s="67"/>
      <c r="L599" s="67"/>
      <c r="M599" s="67"/>
      <c r="N599" s="67"/>
      <c r="O599" s="67"/>
      <c r="P599" s="67"/>
      <c r="Q599" s="67"/>
      <c r="R599" s="67"/>
    </row>
    <row r="600" spans="4:18" ht="15.75" customHeight="1">
      <c r="D600" s="94"/>
      <c r="E600" s="95"/>
      <c r="F600" s="95"/>
      <c r="G600" s="67"/>
      <c r="H600" s="67"/>
      <c r="I600" s="67"/>
      <c r="J600" s="67"/>
      <c r="K600" s="67"/>
      <c r="L600" s="67"/>
      <c r="M600" s="67"/>
      <c r="N600" s="67"/>
      <c r="O600" s="67"/>
      <c r="P600" s="67"/>
      <c r="Q600" s="67"/>
      <c r="R600" s="67"/>
    </row>
    <row r="601" spans="4:18" ht="15.75" customHeight="1">
      <c r="D601" s="94"/>
      <c r="E601" s="95"/>
      <c r="F601" s="95"/>
      <c r="G601" s="67"/>
      <c r="H601" s="67"/>
      <c r="I601" s="67"/>
      <c r="J601" s="67"/>
      <c r="K601" s="67"/>
      <c r="L601" s="67"/>
      <c r="M601" s="67"/>
      <c r="N601" s="67"/>
      <c r="O601" s="67"/>
      <c r="P601" s="67"/>
      <c r="Q601" s="67"/>
      <c r="R601" s="67"/>
    </row>
    <row r="602" spans="4:18" ht="15.75" customHeight="1">
      <c r="D602" s="94"/>
      <c r="E602" s="95"/>
      <c r="F602" s="95"/>
      <c r="G602" s="67"/>
      <c r="H602" s="67"/>
      <c r="I602" s="67"/>
      <c r="J602" s="67"/>
      <c r="K602" s="67"/>
      <c r="L602" s="67"/>
      <c r="M602" s="67"/>
      <c r="N602" s="67"/>
      <c r="O602" s="67"/>
      <c r="P602" s="67"/>
      <c r="Q602" s="67"/>
      <c r="R602" s="67"/>
    </row>
    <row r="603" spans="4:18" ht="15.75" customHeight="1">
      <c r="D603" s="94"/>
      <c r="E603" s="95"/>
      <c r="F603" s="95"/>
      <c r="G603" s="67"/>
      <c r="H603" s="67"/>
      <c r="I603" s="67"/>
      <c r="J603" s="67"/>
      <c r="K603" s="67"/>
      <c r="L603" s="67"/>
      <c r="M603" s="67"/>
      <c r="N603" s="67"/>
      <c r="O603" s="67"/>
      <c r="P603" s="67"/>
      <c r="Q603" s="67"/>
      <c r="R603" s="67"/>
    </row>
    <row r="604" spans="4:18" ht="15.75" customHeight="1">
      <c r="D604" s="94"/>
      <c r="E604" s="95"/>
      <c r="F604" s="95"/>
      <c r="G604" s="67"/>
      <c r="H604" s="67"/>
      <c r="I604" s="67"/>
      <c r="J604" s="67"/>
      <c r="K604" s="67"/>
      <c r="L604" s="67"/>
      <c r="M604" s="67"/>
      <c r="N604" s="67"/>
      <c r="O604" s="67"/>
      <c r="P604" s="67"/>
      <c r="Q604" s="67"/>
      <c r="R604" s="67"/>
    </row>
    <row r="605" spans="4:18" ht="15.75" customHeight="1">
      <c r="D605" s="94"/>
      <c r="E605" s="95"/>
      <c r="F605" s="95"/>
      <c r="G605" s="67"/>
      <c r="H605" s="67"/>
      <c r="I605" s="67"/>
      <c r="J605" s="67"/>
      <c r="K605" s="67"/>
      <c r="L605" s="67"/>
      <c r="M605" s="67"/>
      <c r="N605" s="67"/>
      <c r="O605" s="67"/>
      <c r="P605" s="67"/>
      <c r="Q605" s="67"/>
      <c r="R605" s="67"/>
    </row>
    <row r="606" spans="4:18" ht="15.75" customHeight="1">
      <c r="D606" s="94"/>
      <c r="E606" s="95"/>
      <c r="F606" s="95"/>
      <c r="G606" s="67"/>
      <c r="H606" s="67"/>
      <c r="I606" s="67"/>
      <c r="J606" s="67"/>
      <c r="K606" s="67"/>
      <c r="L606" s="67"/>
      <c r="M606" s="67"/>
      <c r="N606" s="67"/>
      <c r="O606" s="67"/>
      <c r="P606" s="67"/>
      <c r="Q606" s="67"/>
      <c r="R606" s="67"/>
    </row>
    <row r="607" spans="4:18" ht="15.75" customHeight="1">
      <c r="D607" s="94"/>
      <c r="E607" s="95"/>
      <c r="F607" s="95"/>
      <c r="G607" s="67"/>
      <c r="H607" s="67"/>
      <c r="I607" s="67"/>
      <c r="J607" s="67"/>
      <c r="K607" s="67"/>
      <c r="L607" s="67"/>
      <c r="M607" s="67"/>
      <c r="N607" s="67"/>
      <c r="O607" s="67"/>
      <c r="P607" s="67"/>
      <c r="Q607" s="67"/>
      <c r="R607" s="67"/>
    </row>
    <row r="608" spans="4:18" ht="15.75" customHeight="1">
      <c r="D608" s="94"/>
      <c r="E608" s="95"/>
      <c r="F608" s="95"/>
      <c r="G608" s="67"/>
      <c r="H608" s="67"/>
      <c r="I608" s="67"/>
      <c r="J608" s="67"/>
      <c r="K608" s="67"/>
      <c r="L608" s="67"/>
      <c r="M608" s="67"/>
      <c r="N608" s="67"/>
      <c r="O608" s="67"/>
      <c r="P608" s="67"/>
      <c r="Q608" s="67"/>
      <c r="R608" s="67"/>
    </row>
    <row r="609" spans="4:18" ht="15.75" customHeight="1">
      <c r="D609" s="94"/>
      <c r="E609" s="95"/>
      <c r="F609" s="95"/>
      <c r="G609" s="67"/>
      <c r="H609" s="67"/>
      <c r="I609" s="67"/>
      <c r="J609" s="67"/>
      <c r="K609" s="67"/>
      <c r="L609" s="67"/>
      <c r="M609" s="67"/>
      <c r="N609" s="67"/>
      <c r="O609" s="67"/>
      <c r="P609" s="67"/>
      <c r="Q609" s="67"/>
      <c r="R609" s="67"/>
    </row>
    <row r="610" spans="4:18" ht="15.75" customHeight="1">
      <c r="D610" s="94"/>
      <c r="E610" s="95"/>
      <c r="F610" s="95"/>
      <c r="G610" s="67"/>
      <c r="H610" s="67"/>
      <c r="I610" s="67"/>
      <c r="J610" s="67"/>
      <c r="K610" s="67"/>
      <c r="L610" s="67"/>
      <c r="M610" s="67"/>
      <c r="N610" s="67"/>
      <c r="O610" s="67"/>
      <c r="P610" s="67"/>
      <c r="Q610" s="67"/>
      <c r="R610" s="67"/>
    </row>
    <row r="611" spans="4:18" ht="15.75" customHeight="1">
      <c r="D611" s="94"/>
      <c r="E611" s="95"/>
      <c r="F611" s="95"/>
      <c r="G611" s="67"/>
      <c r="H611" s="67"/>
      <c r="I611" s="67"/>
      <c r="J611" s="67"/>
      <c r="K611" s="67"/>
      <c r="L611" s="67"/>
      <c r="M611" s="67"/>
      <c r="N611" s="67"/>
      <c r="O611" s="67"/>
      <c r="P611" s="67"/>
      <c r="Q611" s="67"/>
      <c r="R611" s="67"/>
    </row>
    <row r="612" spans="4:18" ht="15.75" customHeight="1">
      <c r="D612" s="94"/>
      <c r="E612" s="95"/>
      <c r="F612" s="95"/>
      <c r="G612" s="67"/>
      <c r="H612" s="67"/>
      <c r="I612" s="67"/>
      <c r="J612" s="67"/>
      <c r="K612" s="67"/>
      <c r="L612" s="67"/>
      <c r="M612" s="67"/>
      <c r="N612" s="67"/>
      <c r="O612" s="67"/>
      <c r="P612" s="67"/>
      <c r="Q612" s="67"/>
      <c r="R612" s="67"/>
    </row>
    <row r="613" spans="4:18" ht="15.75" customHeight="1">
      <c r="D613" s="94"/>
      <c r="E613" s="95"/>
      <c r="F613" s="95"/>
      <c r="G613" s="67"/>
      <c r="H613" s="67"/>
      <c r="I613" s="67"/>
      <c r="J613" s="67"/>
      <c r="K613" s="67"/>
      <c r="L613" s="67"/>
      <c r="M613" s="67"/>
      <c r="N613" s="67"/>
      <c r="O613" s="67"/>
      <c r="P613" s="67"/>
      <c r="Q613" s="67"/>
      <c r="R613" s="67"/>
    </row>
    <row r="614" spans="4:18" ht="15.75" customHeight="1">
      <c r="D614" s="94"/>
      <c r="E614" s="95"/>
      <c r="F614" s="95"/>
      <c r="G614" s="67"/>
      <c r="H614" s="67"/>
      <c r="I614" s="67"/>
      <c r="J614" s="67"/>
      <c r="K614" s="67"/>
      <c r="L614" s="67"/>
      <c r="M614" s="67"/>
      <c r="N614" s="67"/>
      <c r="O614" s="67"/>
      <c r="P614" s="67"/>
      <c r="Q614" s="67"/>
      <c r="R614" s="67"/>
    </row>
    <row r="615" spans="4:18" ht="15.75" customHeight="1">
      <c r="D615" s="94"/>
      <c r="E615" s="95"/>
      <c r="F615" s="95"/>
      <c r="G615" s="67"/>
      <c r="H615" s="67"/>
      <c r="I615" s="67"/>
      <c r="J615" s="67"/>
      <c r="K615" s="67"/>
      <c r="L615" s="67"/>
      <c r="M615" s="67"/>
      <c r="N615" s="67"/>
      <c r="O615" s="67"/>
      <c r="P615" s="67"/>
      <c r="Q615" s="67"/>
      <c r="R615" s="67"/>
    </row>
    <row r="616" spans="4:18" ht="15.75" customHeight="1">
      <c r="D616" s="94"/>
      <c r="E616" s="95"/>
      <c r="F616" s="95"/>
      <c r="G616" s="67"/>
      <c r="H616" s="67"/>
      <c r="I616" s="67"/>
      <c r="J616" s="67"/>
      <c r="K616" s="67"/>
      <c r="L616" s="67"/>
      <c r="M616" s="67"/>
      <c r="N616" s="67"/>
      <c r="O616" s="67"/>
      <c r="P616" s="67"/>
      <c r="Q616" s="67"/>
      <c r="R616" s="67"/>
    </row>
    <row r="617" spans="4:18" ht="15.75" customHeight="1">
      <c r="D617" s="94"/>
      <c r="E617" s="95"/>
      <c r="F617" s="95"/>
      <c r="G617" s="67"/>
      <c r="H617" s="67"/>
      <c r="I617" s="67"/>
      <c r="J617" s="67"/>
      <c r="K617" s="67"/>
      <c r="L617" s="67"/>
      <c r="M617" s="67"/>
      <c r="N617" s="67"/>
      <c r="O617" s="67"/>
      <c r="P617" s="67"/>
      <c r="Q617" s="67"/>
      <c r="R617" s="67"/>
    </row>
    <row r="618" spans="4:18" ht="15.75" customHeight="1">
      <c r="D618" s="94"/>
      <c r="E618" s="95"/>
      <c r="F618" s="95"/>
      <c r="G618" s="67"/>
      <c r="H618" s="67"/>
      <c r="I618" s="67"/>
      <c r="J618" s="67"/>
      <c r="K618" s="67"/>
      <c r="L618" s="67"/>
      <c r="M618" s="67"/>
      <c r="N618" s="67"/>
      <c r="O618" s="67"/>
      <c r="P618" s="67"/>
      <c r="Q618" s="67"/>
      <c r="R618" s="67"/>
    </row>
    <row r="619" spans="4:18" ht="15.75" customHeight="1">
      <c r="D619" s="94"/>
      <c r="E619" s="95"/>
      <c r="F619" s="95"/>
      <c r="G619" s="67"/>
      <c r="H619" s="67"/>
      <c r="I619" s="67"/>
      <c r="J619" s="67"/>
      <c r="K619" s="67"/>
      <c r="L619" s="67"/>
      <c r="M619" s="67"/>
      <c r="N619" s="67"/>
      <c r="O619" s="67"/>
      <c r="P619" s="67"/>
      <c r="Q619" s="67"/>
      <c r="R619" s="67"/>
    </row>
    <row r="620" spans="4:18" ht="15.75" customHeight="1">
      <c r="D620" s="94"/>
      <c r="E620" s="95"/>
      <c r="F620" s="95"/>
      <c r="G620" s="67"/>
      <c r="H620" s="67"/>
      <c r="I620" s="67"/>
      <c r="J620" s="67"/>
      <c r="K620" s="67"/>
      <c r="L620" s="67"/>
      <c r="M620" s="67"/>
      <c r="N620" s="67"/>
      <c r="O620" s="67"/>
      <c r="P620" s="67"/>
      <c r="Q620" s="67"/>
      <c r="R620" s="67"/>
    </row>
    <row r="621" spans="4:18" ht="15.75" customHeight="1">
      <c r="D621" s="94"/>
      <c r="E621" s="95"/>
      <c r="F621" s="95"/>
      <c r="G621" s="67"/>
      <c r="H621" s="67"/>
      <c r="I621" s="67"/>
      <c r="J621" s="67"/>
      <c r="K621" s="67"/>
      <c r="L621" s="67"/>
      <c r="M621" s="67"/>
      <c r="N621" s="67"/>
      <c r="O621" s="67"/>
      <c r="P621" s="67"/>
      <c r="Q621" s="67"/>
      <c r="R621" s="67"/>
    </row>
    <row r="622" spans="4:18" ht="15.75" customHeight="1">
      <c r="D622" s="94"/>
      <c r="E622" s="95"/>
      <c r="F622" s="95"/>
      <c r="G622" s="67"/>
      <c r="H622" s="67"/>
      <c r="I622" s="67"/>
      <c r="J622" s="67"/>
      <c r="K622" s="67"/>
      <c r="L622" s="67"/>
      <c r="M622" s="67"/>
      <c r="N622" s="67"/>
      <c r="O622" s="67"/>
      <c r="P622" s="67"/>
      <c r="Q622" s="67"/>
      <c r="R622" s="67"/>
    </row>
    <row r="623" spans="4:18" ht="15.75" customHeight="1">
      <c r="D623" s="94"/>
      <c r="E623" s="95"/>
      <c r="F623" s="95"/>
      <c r="G623" s="67"/>
      <c r="H623" s="67"/>
      <c r="I623" s="67"/>
      <c r="J623" s="67"/>
      <c r="K623" s="67"/>
      <c r="L623" s="67"/>
      <c r="M623" s="67"/>
      <c r="N623" s="67"/>
      <c r="O623" s="67"/>
      <c r="P623" s="67"/>
      <c r="Q623" s="67"/>
      <c r="R623" s="67"/>
    </row>
    <row r="624" spans="4:18" ht="15.75" customHeight="1">
      <c r="D624" s="94"/>
      <c r="E624" s="95"/>
      <c r="F624" s="95"/>
      <c r="G624" s="67"/>
      <c r="H624" s="67"/>
      <c r="I624" s="67"/>
      <c r="J624" s="67"/>
      <c r="K624" s="67"/>
      <c r="L624" s="67"/>
      <c r="M624" s="67"/>
      <c r="N624" s="67"/>
      <c r="O624" s="67"/>
      <c r="P624" s="67"/>
      <c r="Q624" s="67"/>
      <c r="R624" s="67"/>
    </row>
    <row r="625" spans="4:18" ht="15.75" customHeight="1">
      <c r="D625" s="94"/>
      <c r="E625" s="95"/>
      <c r="F625" s="95"/>
      <c r="G625" s="67"/>
      <c r="H625" s="67"/>
      <c r="I625" s="67"/>
      <c r="J625" s="67"/>
      <c r="K625" s="67"/>
      <c r="L625" s="67"/>
      <c r="M625" s="67"/>
      <c r="N625" s="67"/>
      <c r="O625" s="67"/>
      <c r="P625" s="67"/>
      <c r="Q625" s="67"/>
      <c r="R625" s="67"/>
    </row>
    <row r="626" spans="4:18" ht="15.75" customHeight="1">
      <c r="D626" s="94"/>
      <c r="E626" s="95"/>
      <c r="F626" s="95"/>
      <c r="G626" s="67"/>
      <c r="H626" s="67"/>
      <c r="I626" s="67"/>
      <c r="J626" s="67"/>
      <c r="K626" s="67"/>
      <c r="L626" s="67"/>
      <c r="M626" s="67"/>
      <c r="N626" s="67"/>
      <c r="O626" s="67"/>
      <c r="P626" s="67"/>
      <c r="Q626" s="67"/>
      <c r="R626" s="67"/>
    </row>
    <row r="627" spans="4:18" ht="15.75" customHeight="1">
      <c r="D627" s="94"/>
      <c r="E627" s="95"/>
      <c r="F627" s="95"/>
      <c r="G627" s="67"/>
      <c r="H627" s="67"/>
      <c r="I627" s="67"/>
      <c r="J627" s="67"/>
      <c r="K627" s="67"/>
      <c r="L627" s="67"/>
      <c r="M627" s="67"/>
      <c r="N627" s="67"/>
      <c r="O627" s="67"/>
      <c r="P627" s="67"/>
      <c r="Q627" s="67"/>
      <c r="R627" s="67"/>
    </row>
    <row r="628" spans="4:18" ht="15.75" customHeight="1">
      <c r="D628" s="94"/>
      <c r="E628" s="95"/>
      <c r="F628" s="95"/>
      <c r="G628" s="67"/>
      <c r="H628" s="67"/>
      <c r="I628" s="67"/>
      <c r="J628" s="67"/>
      <c r="K628" s="67"/>
      <c r="L628" s="67"/>
      <c r="M628" s="67"/>
      <c r="N628" s="67"/>
      <c r="O628" s="67"/>
      <c r="P628" s="67"/>
      <c r="Q628" s="67"/>
      <c r="R628" s="67"/>
    </row>
    <row r="629" spans="4:18" ht="15.75" customHeight="1">
      <c r="D629" s="94"/>
      <c r="E629" s="95"/>
      <c r="F629" s="95"/>
      <c r="G629" s="67"/>
      <c r="H629" s="67"/>
      <c r="I629" s="67"/>
      <c r="J629" s="67"/>
      <c r="K629" s="67"/>
      <c r="L629" s="67"/>
      <c r="M629" s="67"/>
      <c r="N629" s="67"/>
      <c r="O629" s="67"/>
      <c r="P629" s="67"/>
      <c r="Q629" s="67"/>
      <c r="R629" s="67"/>
    </row>
    <row r="630" spans="4:18" ht="15.75" customHeight="1">
      <c r="D630" s="94"/>
      <c r="E630" s="95"/>
      <c r="F630" s="95"/>
      <c r="G630" s="67"/>
      <c r="H630" s="67"/>
      <c r="I630" s="67"/>
      <c r="J630" s="67"/>
      <c r="K630" s="67"/>
      <c r="L630" s="67"/>
      <c r="M630" s="67"/>
      <c r="N630" s="67"/>
      <c r="O630" s="67"/>
      <c r="P630" s="67"/>
      <c r="Q630" s="67"/>
      <c r="R630" s="67"/>
    </row>
    <row r="631" spans="4:18" ht="15.75" customHeight="1">
      <c r="D631" s="94"/>
      <c r="E631" s="95"/>
      <c r="F631" s="95"/>
      <c r="G631" s="67"/>
      <c r="H631" s="67"/>
      <c r="I631" s="67"/>
      <c r="J631" s="67"/>
      <c r="K631" s="67"/>
      <c r="L631" s="67"/>
      <c r="M631" s="67"/>
      <c r="N631" s="67"/>
      <c r="O631" s="67"/>
      <c r="P631" s="67"/>
      <c r="Q631" s="67"/>
      <c r="R631" s="67"/>
    </row>
    <row r="632" spans="4:18" ht="15.75" customHeight="1">
      <c r="D632" s="94"/>
      <c r="E632" s="95"/>
      <c r="F632" s="95"/>
      <c r="G632" s="67"/>
      <c r="H632" s="67"/>
      <c r="I632" s="67"/>
      <c r="J632" s="67"/>
      <c r="K632" s="67"/>
      <c r="L632" s="67"/>
      <c r="M632" s="67"/>
      <c r="N632" s="67"/>
      <c r="O632" s="67"/>
      <c r="P632" s="67"/>
      <c r="Q632" s="67"/>
      <c r="R632" s="67"/>
    </row>
    <row r="633" spans="4:18" ht="15.75" customHeight="1">
      <c r="D633" s="94"/>
      <c r="E633" s="95"/>
      <c r="F633" s="95"/>
      <c r="G633" s="67"/>
      <c r="H633" s="67"/>
      <c r="I633" s="67"/>
      <c r="J633" s="67"/>
      <c r="K633" s="67"/>
      <c r="L633" s="67"/>
      <c r="M633" s="67"/>
      <c r="N633" s="67"/>
      <c r="O633" s="67"/>
      <c r="P633" s="67"/>
      <c r="Q633" s="67"/>
      <c r="R633" s="67"/>
    </row>
    <row r="634" spans="4:18" ht="15.75" customHeight="1">
      <c r="D634" s="94"/>
      <c r="E634" s="95"/>
      <c r="F634" s="95"/>
      <c r="G634" s="67"/>
      <c r="H634" s="67"/>
      <c r="I634" s="67"/>
      <c r="J634" s="67"/>
      <c r="K634" s="67"/>
      <c r="L634" s="67"/>
      <c r="M634" s="67"/>
      <c r="N634" s="67"/>
      <c r="O634" s="67"/>
      <c r="P634" s="67"/>
      <c r="Q634" s="67"/>
      <c r="R634" s="67"/>
    </row>
    <row r="635" spans="4:18" ht="15.75" customHeight="1">
      <c r="D635" s="94"/>
      <c r="E635" s="95"/>
      <c r="F635" s="95"/>
      <c r="G635" s="67"/>
      <c r="H635" s="67"/>
      <c r="I635" s="67"/>
      <c r="J635" s="67"/>
      <c r="K635" s="67"/>
      <c r="L635" s="67"/>
      <c r="M635" s="67"/>
      <c r="N635" s="67"/>
      <c r="O635" s="67"/>
      <c r="P635" s="67"/>
      <c r="Q635" s="67"/>
      <c r="R635" s="67"/>
    </row>
    <row r="636" spans="4:18" ht="15.75" customHeight="1">
      <c r="D636" s="94"/>
      <c r="E636" s="95"/>
      <c r="F636" s="95"/>
      <c r="G636" s="67"/>
      <c r="H636" s="67"/>
      <c r="I636" s="67"/>
      <c r="J636" s="67"/>
      <c r="K636" s="67"/>
      <c r="L636" s="67"/>
      <c r="M636" s="67"/>
      <c r="N636" s="67"/>
      <c r="O636" s="67"/>
      <c r="P636" s="67"/>
      <c r="Q636" s="67"/>
      <c r="R636" s="67"/>
    </row>
    <row r="637" spans="4:18" ht="15.75" customHeight="1">
      <c r="D637" s="94"/>
      <c r="E637" s="95"/>
      <c r="F637" s="95"/>
      <c r="G637" s="67"/>
      <c r="H637" s="67"/>
      <c r="I637" s="67"/>
      <c r="J637" s="67"/>
      <c r="K637" s="67"/>
      <c r="L637" s="67"/>
      <c r="M637" s="67"/>
      <c r="N637" s="67"/>
      <c r="O637" s="67"/>
      <c r="P637" s="67"/>
      <c r="Q637" s="67"/>
      <c r="R637" s="67"/>
    </row>
    <row r="638" spans="4:18" ht="15.75" customHeight="1">
      <c r="D638" s="94"/>
      <c r="E638" s="95"/>
      <c r="F638" s="95"/>
      <c r="G638" s="67"/>
      <c r="H638" s="67"/>
      <c r="I638" s="67"/>
      <c r="J638" s="67"/>
      <c r="K638" s="67"/>
      <c r="L638" s="67"/>
      <c r="M638" s="67"/>
      <c r="N638" s="67"/>
      <c r="O638" s="67"/>
      <c r="P638" s="67"/>
      <c r="Q638" s="67"/>
      <c r="R638" s="67"/>
    </row>
    <row r="639" spans="4:18" ht="15.75" customHeight="1">
      <c r="D639" s="94"/>
      <c r="E639" s="95"/>
      <c r="F639" s="95"/>
      <c r="G639" s="67"/>
      <c r="H639" s="67"/>
      <c r="I639" s="67"/>
      <c r="J639" s="67"/>
      <c r="K639" s="67"/>
      <c r="L639" s="67"/>
      <c r="M639" s="67"/>
      <c r="N639" s="67"/>
      <c r="O639" s="67"/>
      <c r="P639" s="67"/>
      <c r="Q639" s="67"/>
      <c r="R639" s="67"/>
    </row>
    <row r="640" spans="4:18" ht="15.75" customHeight="1">
      <c r="D640" s="94"/>
      <c r="E640" s="95"/>
      <c r="F640" s="95"/>
      <c r="G640" s="67"/>
      <c r="H640" s="67"/>
      <c r="I640" s="67"/>
      <c r="J640" s="67"/>
      <c r="K640" s="67"/>
      <c r="L640" s="67"/>
      <c r="M640" s="67"/>
      <c r="N640" s="67"/>
      <c r="O640" s="67"/>
      <c r="P640" s="67"/>
      <c r="Q640" s="67"/>
      <c r="R640" s="67"/>
    </row>
    <row r="641" spans="4:18" ht="15.75" customHeight="1">
      <c r="D641" s="94"/>
      <c r="E641" s="95"/>
      <c r="F641" s="95"/>
      <c r="G641" s="67"/>
      <c r="H641" s="67"/>
      <c r="I641" s="67"/>
      <c r="J641" s="67"/>
      <c r="K641" s="67"/>
      <c r="L641" s="67"/>
      <c r="M641" s="67"/>
      <c r="N641" s="67"/>
      <c r="O641" s="67"/>
      <c r="P641" s="67"/>
      <c r="Q641" s="67"/>
      <c r="R641" s="67"/>
    </row>
    <row r="642" spans="4:18" ht="15.75" customHeight="1">
      <c r="D642" s="94"/>
      <c r="E642" s="95"/>
      <c r="F642" s="95"/>
      <c r="G642" s="67"/>
      <c r="H642" s="67"/>
      <c r="I642" s="67"/>
      <c r="J642" s="67"/>
      <c r="K642" s="67"/>
      <c r="L642" s="67"/>
      <c r="M642" s="67"/>
      <c r="N642" s="67"/>
      <c r="O642" s="67"/>
      <c r="P642" s="67"/>
      <c r="Q642" s="67"/>
      <c r="R642" s="67"/>
    </row>
    <row r="643" spans="4:18" ht="15.75" customHeight="1">
      <c r="D643" s="94"/>
      <c r="E643" s="95"/>
      <c r="F643" s="95"/>
      <c r="G643" s="67"/>
      <c r="H643" s="67"/>
      <c r="I643" s="67"/>
      <c r="J643" s="67"/>
      <c r="K643" s="67"/>
      <c r="L643" s="67"/>
      <c r="M643" s="67"/>
      <c r="N643" s="67"/>
      <c r="O643" s="67"/>
      <c r="P643" s="67"/>
      <c r="Q643" s="67"/>
      <c r="R643" s="67"/>
    </row>
    <row r="644" spans="4:18" ht="15.75" customHeight="1">
      <c r="D644" s="94"/>
      <c r="E644" s="95"/>
      <c r="F644" s="95"/>
      <c r="G644" s="67"/>
      <c r="H644" s="67"/>
      <c r="I644" s="67"/>
      <c r="J644" s="67"/>
      <c r="K644" s="67"/>
      <c r="L644" s="67"/>
      <c r="M644" s="67"/>
      <c r="N644" s="67"/>
      <c r="O644" s="67"/>
      <c r="P644" s="67"/>
      <c r="Q644" s="67"/>
      <c r="R644" s="67"/>
    </row>
    <row r="645" spans="4:18" ht="15.75" customHeight="1">
      <c r="D645" s="94"/>
      <c r="E645" s="95"/>
      <c r="F645" s="95"/>
      <c r="G645" s="67"/>
      <c r="H645" s="67"/>
      <c r="I645" s="67"/>
      <c r="J645" s="67"/>
      <c r="K645" s="67"/>
      <c r="L645" s="67"/>
      <c r="M645" s="67"/>
      <c r="N645" s="67"/>
      <c r="O645" s="67"/>
      <c r="P645" s="67"/>
      <c r="Q645" s="67"/>
      <c r="R645" s="67"/>
    </row>
    <row r="646" spans="4:18" ht="15.75" customHeight="1">
      <c r="D646" s="94"/>
      <c r="E646" s="95"/>
      <c r="F646" s="95"/>
      <c r="G646" s="67"/>
      <c r="H646" s="67"/>
      <c r="I646" s="67"/>
      <c r="J646" s="67"/>
      <c r="K646" s="67"/>
      <c r="L646" s="67"/>
      <c r="M646" s="67"/>
      <c r="N646" s="67"/>
      <c r="O646" s="67"/>
      <c r="P646" s="67"/>
      <c r="Q646" s="67"/>
      <c r="R646" s="67"/>
    </row>
    <row r="647" spans="4:18" ht="15.75" customHeight="1">
      <c r="D647" s="94"/>
      <c r="E647" s="95"/>
      <c r="F647" s="95"/>
      <c r="G647" s="67"/>
      <c r="H647" s="67"/>
      <c r="I647" s="67"/>
      <c r="J647" s="67"/>
      <c r="K647" s="67"/>
      <c r="L647" s="67"/>
      <c r="M647" s="67"/>
      <c r="N647" s="67"/>
      <c r="O647" s="67"/>
      <c r="P647" s="67"/>
      <c r="Q647" s="67"/>
      <c r="R647" s="67"/>
    </row>
    <row r="648" spans="4:18" ht="15.75" customHeight="1">
      <c r="D648" s="94"/>
      <c r="E648" s="95"/>
      <c r="F648" s="95"/>
      <c r="G648" s="67"/>
      <c r="H648" s="67"/>
      <c r="I648" s="67"/>
      <c r="J648" s="67"/>
      <c r="K648" s="67"/>
      <c r="L648" s="67"/>
      <c r="M648" s="67"/>
      <c r="N648" s="67"/>
      <c r="O648" s="67"/>
      <c r="P648" s="67"/>
      <c r="Q648" s="67"/>
      <c r="R648" s="67"/>
    </row>
    <row r="649" spans="4:18" ht="15.75" customHeight="1">
      <c r="D649" s="94"/>
      <c r="E649" s="95"/>
      <c r="F649" s="95"/>
      <c r="G649" s="67"/>
      <c r="H649" s="67"/>
      <c r="I649" s="67"/>
      <c r="J649" s="67"/>
      <c r="K649" s="67"/>
      <c r="L649" s="67"/>
      <c r="M649" s="67"/>
      <c r="N649" s="67"/>
      <c r="O649" s="67"/>
      <c r="P649" s="67"/>
      <c r="Q649" s="67"/>
      <c r="R649" s="67"/>
    </row>
    <row r="650" spans="4:18" ht="15.75" customHeight="1">
      <c r="D650" s="94"/>
      <c r="E650" s="95"/>
      <c r="F650" s="95"/>
      <c r="G650" s="67"/>
      <c r="H650" s="67"/>
      <c r="I650" s="67"/>
      <c r="J650" s="67"/>
      <c r="K650" s="67"/>
      <c r="L650" s="67"/>
      <c r="M650" s="67"/>
      <c r="N650" s="67"/>
      <c r="O650" s="67"/>
      <c r="P650" s="67"/>
      <c r="Q650" s="67"/>
      <c r="R650" s="67"/>
    </row>
    <row r="651" spans="4:18" ht="15.75" customHeight="1">
      <c r="D651" s="94"/>
      <c r="E651" s="95"/>
      <c r="F651" s="95"/>
      <c r="G651" s="67"/>
      <c r="H651" s="67"/>
      <c r="I651" s="67"/>
      <c r="J651" s="67"/>
      <c r="K651" s="67"/>
      <c r="L651" s="67"/>
      <c r="M651" s="67"/>
      <c r="N651" s="67"/>
      <c r="O651" s="67"/>
      <c r="P651" s="67"/>
      <c r="Q651" s="67"/>
      <c r="R651" s="67"/>
    </row>
    <row r="652" spans="4:18" ht="15.75" customHeight="1">
      <c r="D652" s="94"/>
      <c r="E652" s="95"/>
      <c r="F652" s="95"/>
      <c r="G652" s="67"/>
      <c r="H652" s="67"/>
      <c r="I652" s="67"/>
      <c r="J652" s="67"/>
      <c r="K652" s="67"/>
      <c r="L652" s="67"/>
      <c r="M652" s="67"/>
      <c r="N652" s="67"/>
      <c r="O652" s="67"/>
      <c r="P652" s="67"/>
      <c r="Q652" s="67"/>
      <c r="R652" s="67"/>
    </row>
    <row r="653" spans="4:18" ht="15.75" customHeight="1">
      <c r="D653" s="94"/>
      <c r="E653" s="95"/>
      <c r="F653" s="95"/>
      <c r="G653" s="67"/>
      <c r="H653" s="67"/>
      <c r="I653" s="67"/>
      <c r="J653" s="67"/>
      <c r="K653" s="67"/>
      <c r="L653" s="67"/>
      <c r="M653" s="67"/>
      <c r="N653" s="67"/>
      <c r="O653" s="67"/>
      <c r="P653" s="67"/>
      <c r="Q653" s="67"/>
      <c r="R653" s="67"/>
    </row>
    <row r="654" spans="4:18" ht="15.75" customHeight="1">
      <c r="D654" s="94"/>
      <c r="E654" s="95"/>
      <c r="F654" s="95"/>
      <c r="G654" s="67"/>
      <c r="H654" s="67"/>
      <c r="I654" s="67"/>
      <c r="J654" s="67"/>
      <c r="K654" s="67"/>
      <c r="L654" s="67"/>
      <c r="M654" s="67"/>
      <c r="N654" s="67"/>
      <c r="O654" s="67"/>
      <c r="P654" s="67"/>
      <c r="Q654" s="67"/>
      <c r="R654" s="67"/>
    </row>
    <row r="655" spans="4:18" ht="15.75" customHeight="1">
      <c r="D655" s="94"/>
      <c r="E655" s="95"/>
      <c r="F655" s="95"/>
      <c r="G655" s="67"/>
      <c r="H655" s="67"/>
      <c r="I655" s="67"/>
      <c r="J655" s="67"/>
      <c r="K655" s="67"/>
      <c r="L655" s="67"/>
      <c r="M655" s="67"/>
      <c r="N655" s="67"/>
      <c r="O655" s="67"/>
      <c r="P655" s="67"/>
      <c r="Q655" s="67"/>
      <c r="R655" s="67"/>
    </row>
    <row r="656" spans="4:18" ht="15.75" customHeight="1">
      <c r="D656" s="94"/>
      <c r="E656" s="95"/>
      <c r="F656" s="95"/>
      <c r="G656" s="67"/>
      <c r="H656" s="67"/>
      <c r="I656" s="67"/>
      <c r="J656" s="67"/>
      <c r="K656" s="67"/>
      <c r="L656" s="67"/>
      <c r="M656" s="67"/>
      <c r="N656" s="67"/>
      <c r="O656" s="67"/>
      <c r="P656" s="67"/>
      <c r="Q656" s="67"/>
      <c r="R656" s="67"/>
    </row>
    <row r="657" spans="4:18" ht="15.75" customHeight="1">
      <c r="D657" s="94"/>
      <c r="E657" s="95"/>
      <c r="F657" s="95"/>
      <c r="G657" s="67"/>
      <c r="H657" s="67"/>
      <c r="I657" s="67"/>
      <c r="J657" s="67"/>
      <c r="K657" s="67"/>
      <c r="L657" s="67"/>
      <c r="M657" s="67"/>
      <c r="N657" s="67"/>
      <c r="O657" s="67"/>
      <c r="P657" s="67"/>
      <c r="Q657" s="67"/>
      <c r="R657" s="67"/>
    </row>
    <row r="658" spans="4:18" ht="15.75" customHeight="1">
      <c r="D658" s="94"/>
      <c r="E658" s="95"/>
      <c r="F658" s="95"/>
      <c r="G658" s="67"/>
      <c r="H658" s="67"/>
      <c r="I658" s="67"/>
      <c r="J658" s="67"/>
      <c r="K658" s="67"/>
      <c r="L658" s="67"/>
      <c r="M658" s="67"/>
      <c r="N658" s="67"/>
      <c r="O658" s="67"/>
      <c r="P658" s="67"/>
      <c r="Q658" s="67"/>
      <c r="R658" s="67"/>
    </row>
    <row r="659" spans="4:18" ht="15.75" customHeight="1">
      <c r="D659" s="94"/>
      <c r="E659" s="95"/>
      <c r="F659" s="95"/>
      <c r="G659" s="67"/>
      <c r="H659" s="67"/>
      <c r="I659" s="67"/>
      <c r="J659" s="67"/>
      <c r="K659" s="67"/>
      <c r="L659" s="67"/>
      <c r="M659" s="67"/>
      <c r="N659" s="67"/>
      <c r="O659" s="67"/>
      <c r="P659" s="67"/>
      <c r="Q659" s="67"/>
      <c r="R659" s="67"/>
    </row>
    <row r="660" spans="4:18" ht="15.75" customHeight="1">
      <c r="D660" s="94"/>
      <c r="E660" s="95"/>
      <c r="F660" s="95"/>
      <c r="G660" s="67"/>
      <c r="H660" s="67"/>
      <c r="I660" s="67"/>
      <c r="J660" s="67"/>
      <c r="K660" s="67"/>
      <c r="L660" s="67"/>
      <c r="M660" s="67"/>
      <c r="N660" s="67"/>
      <c r="O660" s="67"/>
      <c r="P660" s="67"/>
      <c r="Q660" s="67"/>
      <c r="R660" s="67"/>
    </row>
    <row r="661" spans="4:18" ht="15.75" customHeight="1">
      <c r="D661" s="94"/>
      <c r="E661" s="95"/>
      <c r="F661" s="95"/>
      <c r="G661" s="67"/>
      <c r="H661" s="67"/>
      <c r="I661" s="67"/>
      <c r="J661" s="67"/>
      <c r="K661" s="67"/>
      <c r="L661" s="67"/>
      <c r="M661" s="67"/>
      <c r="N661" s="67"/>
      <c r="O661" s="67"/>
      <c r="P661" s="67"/>
      <c r="Q661" s="67"/>
      <c r="R661" s="67"/>
    </row>
    <row r="662" spans="4:18" ht="15.75" customHeight="1">
      <c r="D662" s="94"/>
      <c r="E662" s="95"/>
      <c r="F662" s="95"/>
      <c r="G662" s="67"/>
      <c r="H662" s="67"/>
      <c r="I662" s="67"/>
      <c r="J662" s="67"/>
      <c r="K662" s="67"/>
      <c r="L662" s="67"/>
      <c r="M662" s="67"/>
      <c r="N662" s="67"/>
      <c r="O662" s="67"/>
      <c r="P662" s="67"/>
      <c r="Q662" s="67"/>
      <c r="R662" s="67"/>
    </row>
    <row r="663" spans="4:18" ht="15.75" customHeight="1">
      <c r="D663" s="94"/>
      <c r="E663" s="95"/>
      <c r="F663" s="95"/>
      <c r="G663" s="67"/>
      <c r="H663" s="67"/>
      <c r="I663" s="67"/>
      <c r="J663" s="67"/>
      <c r="K663" s="67"/>
      <c r="L663" s="67"/>
      <c r="M663" s="67"/>
      <c r="N663" s="67"/>
      <c r="O663" s="67"/>
      <c r="P663" s="67"/>
      <c r="Q663" s="67"/>
      <c r="R663" s="67"/>
    </row>
    <row r="664" spans="4:18" ht="15.75" customHeight="1">
      <c r="D664" s="94"/>
      <c r="E664" s="95"/>
      <c r="F664" s="95"/>
      <c r="G664" s="67"/>
      <c r="H664" s="67"/>
      <c r="I664" s="67"/>
      <c r="J664" s="67"/>
      <c r="K664" s="67"/>
      <c r="L664" s="67"/>
      <c r="M664" s="67"/>
      <c r="N664" s="67"/>
      <c r="O664" s="67"/>
      <c r="P664" s="67"/>
      <c r="Q664" s="67"/>
      <c r="R664" s="67"/>
    </row>
    <row r="665" spans="4:18" ht="15.75" customHeight="1">
      <c r="D665" s="94"/>
      <c r="E665" s="95"/>
      <c r="F665" s="95"/>
      <c r="G665" s="67"/>
      <c r="H665" s="67"/>
      <c r="I665" s="67"/>
      <c r="J665" s="67"/>
      <c r="K665" s="67"/>
      <c r="L665" s="67"/>
      <c r="M665" s="67"/>
      <c r="N665" s="67"/>
      <c r="O665" s="67"/>
      <c r="P665" s="67"/>
      <c r="Q665" s="67"/>
      <c r="R665" s="67"/>
    </row>
    <row r="666" spans="4:18" ht="15.75" customHeight="1">
      <c r="D666" s="94"/>
      <c r="E666" s="95"/>
      <c r="F666" s="95"/>
      <c r="G666" s="67"/>
      <c r="H666" s="67"/>
      <c r="I666" s="67"/>
      <c r="J666" s="67"/>
      <c r="K666" s="67"/>
      <c r="L666" s="67"/>
      <c r="M666" s="67"/>
      <c r="N666" s="67"/>
      <c r="O666" s="67"/>
      <c r="P666" s="67"/>
      <c r="Q666" s="67"/>
      <c r="R666" s="67"/>
    </row>
    <row r="667" spans="4:18" ht="15.75" customHeight="1">
      <c r="D667" s="94"/>
      <c r="E667" s="95"/>
      <c r="F667" s="95"/>
      <c r="G667" s="67"/>
      <c r="H667" s="67"/>
      <c r="I667" s="67"/>
      <c r="J667" s="67"/>
      <c r="K667" s="67"/>
      <c r="L667" s="67"/>
      <c r="M667" s="67"/>
      <c r="N667" s="67"/>
      <c r="O667" s="67"/>
      <c r="P667" s="67"/>
      <c r="Q667" s="67"/>
      <c r="R667" s="67"/>
    </row>
    <row r="668" spans="4:18" ht="15.75" customHeight="1">
      <c r="D668" s="94"/>
      <c r="E668" s="95"/>
      <c r="F668" s="95"/>
      <c r="G668" s="67"/>
      <c r="H668" s="67"/>
      <c r="I668" s="67"/>
      <c r="J668" s="67"/>
      <c r="K668" s="67"/>
      <c r="L668" s="67"/>
      <c r="M668" s="67"/>
      <c r="N668" s="67"/>
      <c r="O668" s="67"/>
      <c r="P668" s="67"/>
      <c r="Q668" s="67"/>
      <c r="R668" s="67"/>
    </row>
    <row r="669" spans="4:18" ht="15.75" customHeight="1">
      <c r="D669" s="94"/>
      <c r="E669" s="95"/>
      <c r="F669" s="95"/>
      <c r="G669" s="67"/>
      <c r="H669" s="67"/>
      <c r="I669" s="67"/>
      <c r="J669" s="67"/>
      <c r="K669" s="67"/>
      <c r="L669" s="67"/>
      <c r="M669" s="67"/>
      <c r="N669" s="67"/>
      <c r="O669" s="67"/>
      <c r="P669" s="67"/>
      <c r="Q669" s="67"/>
      <c r="R669" s="67"/>
    </row>
    <row r="670" spans="4:18" ht="15.75" customHeight="1">
      <c r="D670" s="94"/>
      <c r="E670" s="95"/>
      <c r="F670" s="95"/>
      <c r="G670" s="67"/>
      <c r="H670" s="67"/>
      <c r="I670" s="67"/>
      <c r="J670" s="67"/>
      <c r="K670" s="67"/>
      <c r="L670" s="67"/>
      <c r="M670" s="67"/>
      <c r="N670" s="67"/>
      <c r="O670" s="67"/>
      <c r="P670" s="67"/>
      <c r="Q670" s="67"/>
      <c r="R670" s="67"/>
    </row>
    <row r="671" spans="4:18" ht="15.75" customHeight="1">
      <c r="D671" s="94"/>
      <c r="E671" s="95"/>
      <c r="F671" s="95"/>
      <c r="G671" s="67"/>
      <c r="H671" s="67"/>
      <c r="I671" s="67"/>
      <c r="J671" s="67"/>
      <c r="K671" s="67"/>
      <c r="L671" s="67"/>
      <c r="M671" s="67"/>
      <c r="N671" s="67"/>
      <c r="O671" s="67"/>
      <c r="P671" s="67"/>
      <c r="Q671" s="67"/>
      <c r="R671" s="67"/>
    </row>
    <row r="672" spans="4:18" ht="15.75" customHeight="1">
      <c r="D672" s="94"/>
      <c r="E672" s="95"/>
      <c r="F672" s="95"/>
      <c r="G672" s="67"/>
      <c r="H672" s="67"/>
      <c r="I672" s="67"/>
      <c r="J672" s="67"/>
      <c r="K672" s="67"/>
      <c r="L672" s="67"/>
      <c r="M672" s="67"/>
      <c r="N672" s="67"/>
      <c r="O672" s="67"/>
      <c r="P672" s="67"/>
      <c r="Q672" s="67"/>
      <c r="R672" s="67"/>
    </row>
    <row r="673" spans="4:18" ht="15.75" customHeight="1">
      <c r="D673" s="94"/>
      <c r="E673" s="95"/>
      <c r="F673" s="95"/>
      <c r="G673" s="67"/>
      <c r="H673" s="67"/>
      <c r="I673" s="67"/>
      <c r="J673" s="67"/>
      <c r="K673" s="67"/>
      <c r="L673" s="67"/>
      <c r="M673" s="67"/>
      <c r="N673" s="67"/>
      <c r="O673" s="67"/>
      <c r="P673" s="67"/>
      <c r="Q673" s="67"/>
      <c r="R673" s="67"/>
    </row>
    <row r="674" spans="4:18" ht="15.75" customHeight="1">
      <c r="D674" s="94"/>
      <c r="E674" s="95"/>
      <c r="F674" s="95"/>
      <c r="G674" s="67"/>
      <c r="H674" s="67"/>
      <c r="I674" s="67"/>
      <c r="J674" s="67"/>
      <c r="K674" s="67"/>
      <c r="L674" s="67"/>
      <c r="M674" s="67"/>
      <c r="N674" s="67"/>
      <c r="O674" s="67"/>
      <c r="P674" s="67"/>
      <c r="Q674" s="67"/>
      <c r="R674" s="67"/>
    </row>
    <row r="675" spans="4:18" ht="15.75" customHeight="1">
      <c r="D675" s="94"/>
      <c r="E675" s="95"/>
      <c r="F675" s="95"/>
      <c r="G675" s="67"/>
      <c r="H675" s="67"/>
      <c r="I675" s="67"/>
      <c r="J675" s="67"/>
      <c r="K675" s="67"/>
      <c r="L675" s="67"/>
      <c r="M675" s="67"/>
      <c r="N675" s="67"/>
      <c r="O675" s="67"/>
      <c r="P675" s="67"/>
      <c r="Q675" s="67"/>
      <c r="R675" s="67"/>
    </row>
    <row r="676" spans="4:18" ht="15.75" customHeight="1">
      <c r="D676" s="94"/>
      <c r="E676" s="95"/>
      <c r="F676" s="95"/>
      <c r="G676" s="67"/>
      <c r="H676" s="67"/>
      <c r="I676" s="67"/>
      <c r="J676" s="67"/>
      <c r="K676" s="67"/>
      <c r="L676" s="67"/>
      <c r="M676" s="67"/>
      <c r="N676" s="67"/>
      <c r="O676" s="67"/>
      <c r="P676" s="67"/>
      <c r="Q676" s="67"/>
      <c r="R676" s="67"/>
    </row>
    <row r="677" spans="4:18" ht="15.75" customHeight="1">
      <c r="D677" s="94"/>
      <c r="E677" s="95"/>
      <c r="F677" s="95"/>
      <c r="G677" s="67"/>
      <c r="H677" s="67"/>
      <c r="I677" s="67"/>
      <c r="J677" s="67"/>
      <c r="K677" s="67"/>
      <c r="L677" s="67"/>
      <c r="M677" s="67"/>
      <c r="N677" s="67"/>
      <c r="O677" s="67"/>
      <c r="P677" s="67"/>
      <c r="Q677" s="67"/>
      <c r="R677" s="67"/>
    </row>
    <row r="678" spans="4:18" ht="15.75" customHeight="1">
      <c r="D678" s="94"/>
      <c r="E678" s="95"/>
      <c r="F678" s="95"/>
      <c r="G678" s="67"/>
      <c r="H678" s="67"/>
      <c r="I678" s="67"/>
      <c r="J678" s="67"/>
      <c r="K678" s="67"/>
      <c r="L678" s="67"/>
      <c r="M678" s="67"/>
      <c r="N678" s="67"/>
      <c r="O678" s="67"/>
      <c r="P678" s="67"/>
      <c r="Q678" s="67"/>
      <c r="R678" s="67"/>
    </row>
    <row r="679" spans="4:18" ht="15.75" customHeight="1">
      <c r="D679" s="94"/>
      <c r="E679" s="95"/>
      <c r="F679" s="95"/>
      <c r="G679" s="67"/>
      <c r="H679" s="67"/>
      <c r="I679" s="67"/>
      <c r="J679" s="67"/>
      <c r="K679" s="67"/>
      <c r="L679" s="67"/>
      <c r="M679" s="67"/>
      <c r="N679" s="67"/>
      <c r="O679" s="67"/>
      <c r="P679" s="67"/>
      <c r="Q679" s="67"/>
      <c r="R679" s="67"/>
    </row>
    <row r="680" spans="4:18" ht="15.75" customHeight="1">
      <c r="D680" s="94"/>
      <c r="E680" s="95"/>
      <c r="F680" s="95"/>
      <c r="G680" s="67"/>
      <c r="H680" s="67"/>
      <c r="I680" s="67"/>
      <c r="J680" s="67"/>
      <c r="K680" s="67"/>
      <c r="L680" s="67"/>
      <c r="M680" s="67"/>
      <c r="N680" s="67"/>
      <c r="O680" s="67"/>
      <c r="P680" s="67"/>
      <c r="Q680" s="67"/>
      <c r="R680" s="67"/>
    </row>
    <row r="681" spans="4:18" ht="15.75" customHeight="1">
      <c r="D681" s="94"/>
      <c r="E681" s="95"/>
      <c r="F681" s="95"/>
      <c r="G681" s="67"/>
      <c r="H681" s="67"/>
      <c r="I681" s="67"/>
      <c r="J681" s="67"/>
      <c r="K681" s="67"/>
      <c r="L681" s="67"/>
      <c r="M681" s="67"/>
      <c r="N681" s="67"/>
      <c r="O681" s="67"/>
      <c r="P681" s="67"/>
      <c r="Q681" s="67"/>
      <c r="R681" s="67"/>
    </row>
    <row r="682" spans="4:18" ht="15.75" customHeight="1">
      <c r="D682" s="94"/>
      <c r="E682" s="95"/>
      <c r="F682" s="95"/>
      <c r="G682" s="67"/>
      <c r="H682" s="67"/>
      <c r="I682" s="67"/>
      <c r="J682" s="67"/>
      <c r="K682" s="67"/>
      <c r="L682" s="67"/>
      <c r="M682" s="67"/>
      <c r="N682" s="67"/>
      <c r="O682" s="67"/>
      <c r="P682" s="67"/>
      <c r="Q682" s="67"/>
      <c r="R682" s="67"/>
    </row>
    <row r="683" spans="4:18" ht="15.75" customHeight="1">
      <c r="D683" s="94"/>
      <c r="E683" s="95"/>
      <c r="F683" s="95"/>
      <c r="G683" s="67"/>
      <c r="H683" s="67"/>
      <c r="I683" s="67"/>
      <c r="J683" s="67"/>
      <c r="K683" s="67"/>
      <c r="L683" s="67"/>
      <c r="M683" s="67"/>
      <c r="N683" s="67"/>
      <c r="O683" s="67"/>
      <c r="P683" s="67"/>
      <c r="Q683" s="67"/>
      <c r="R683" s="67"/>
    </row>
    <row r="684" spans="4:18" ht="15.75" customHeight="1">
      <c r="D684" s="94"/>
      <c r="E684" s="95"/>
      <c r="F684" s="95"/>
      <c r="G684" s="67"/>
      <c r="H684" s="67"/>
      <c r="I684" s="67"/>
      <c r="J684" s="67"/>
      <c r="K684" s="67"/>
      <c r="L684" s="67"/>
      <c r="M684" s="67"/>
      <c r="N684" s="67"/>
      <c r="O684" s="67"/>
      <c r="P684" s="67"/>
      <c r="Q684" s="67"/>
      <c r="R684" s="67"/>
    </row>
    <row r="685" spans="4:18" ht="15.75" customHeight="1">
      <c r="D685" s="94"/>
      <c r="E685" s="95"/>
      <c r="F685" s="95"/>
      <c r="G685" s="67"/>
      <c r="H685" s="67"/>
      <c r="I685" s="67"/>
      <c r="J685" s="67"/>
      <c r="K685" s="67"/>
      <c r="L685" s="67"/>
      <c r="M685" s="67"/>
      <c r="N685" s="67"/>
      <c r="O685" s="67"/>
      <c r="P685" s="67"/>
      <c r="Q685" s="67"/>
      <c r="R685" s="67"/>
    </row>
    <row r="686" spans="4:18" ht="15.75" customHeight="1">
      <c r="D686" s="94"/>
      <c r="E686" s="95"/>
      <c r="F686" s="95"/>
      <c r="G686" s="67"/>
      <c r="H686" s="67"/>
      <c r="I686" s="67"/>
      <c r="J686" s="67"/>
      <c r="K686" s="67"/>
      <c r="L686" s="67"/>
      <c r="M686" s="67"/>
      <c r="N686" s="67"/>
      <c r="O686" s="67"/>
      <c r="P686" s="67"/>
      <c r="Q686" s="67"/>
      <c r="R686" s="67"/>
    </row>
    <row r="687" spans="4:18" ht="15.75" customHeight="1">
      <c r="D687" s="94"/>
      <c r="E687" s="95"/>
      <c r="F687" s="95"/>
      <c r="G687" s="67"/>
      <c r="H687" s="67"/>
      <c r="I687" s="67"/>
      <c r="J687" s="67"/>
      <c r="K687" s="67"/>
      <c r="L687" s="67"/>
      <c r="M687" s="67"/>
      <c r="N687" s="67"/>
      <c r="O687" s="67"/>
      <c r="P687" s="67"/>
      <c r="Q687" s="67"/>
      <c r="R687" s="67"/>
    </row>
    <row r="688" spans="4:18" ht="15.75" customHeight="1">
      <c r="D688" s="94"/>
      <c r="E688" s="95"/>
      <c r="F688" s="95"/>
      <c r="G688" s="67"/>
      <c r="H688" s="67"/>
      <c r="I688" s="67"/>
      <c r="J688" s="67"/>
      <c r="K688" s="67"/>
      <c r="L688" s="67"/>
      <c r="M688" s="67"/>
      <c r="N688" s="67"/>
      <c r="O688" s="67"/>
      <c r="P688" s="67"/>
      <c r="Q688" s="67"/>
      <c r="R688" s="67"/>
    </row>
    <row r="689" spans="4:18" ht="15.75" customHeight="1">
      <c r="D689" s="94"/>
      <c r="E689" s="95"/>
      <c r="F689" s="95"/>
      <c r="G689" s="67"/>
      <c r="H689" s="67"/>
      <c r="I689" s="67"/>
      <c r="J689" s="67"/>
      <c r="K689" s="67"/>
      <c r="L689" s="67"/>
      <c r="M689" s="67"/>
      <c r="N689" s="67"/>
      <c r="O689" s="67"/>
      <c r="P689" s="67"/>
      <c r="Q689" s="67"/>
      <c r="R689" s="67"/>
    </row>
    <row r="690" spans="4:18" ht="15.75" customHeight="1">
      <c r="D690" s="94"/>
      <c r="E690" s="95"/>
      <c r="F690" s="95"/>
      <c r="G690" s="67"/>
      <c r="H690" s="67"/>
      <c r="I690" s="67"/>
      <c r="J690" s="67"/>
      <c r="K690" s="67"/>
      <c r="L690" s="67"/>
      <c r="M690" s="67"/>
      <c r="N690" s="67"/>
      <c r="O690" s="67"/>
      <c r="P690" s="67"/>
      <c r="Q690" s="67"/>
      <c r="R690" s="67"/>
    </row>
    <row r="691" spans="4:18" ht="15.75" customHeight="1">
      <c r="D691" s="94"/>
      <c r="E691" s="95"/>
      <c r="F691" s="95"/>
      <c r="G691" s="67"/>
      <c r="H691" s="67"/>
      <c r="I691" s="67"/>
      <c r="J691" s="67"/>
      <c r="K691" s="67"/>
      <c r="L691" s="67"/>
      <c r="M691" s="67"/>
      <c r="N691" s="67"/>
      <c r="O691" s="67"/>
      <c r="P691" s="67"/>
      <c r="Q691" s="67"/>
      <c r="R691" s="67"/>
    </row>
    <row r="692" spans="4:18" ht="15.75" customHeight="1">
      <c r="D692" s="94"/>
      <c r="E692" s="95"/>
      <c r="F692" s="95"/>
      <c r="G692" s="67"/>
      <c r="H692" s="67"/>
      <c r="I692" s="67"/>
      <c r="J692" s="67"/>
      <c r="K692" s="67"/>
      <c r="L692" s="67"/>
      <c r="M692" s="67"/>
      <c r="N692" s="67"/>
      <c r="O692" s="67"/>
      <c r="P692" s="67"/>
      <c r="Q692" s="67"/>
      <c r="R692" s="67"/>
    </row>
    <row r="693" spans="4:18" ht="15.75" customHeight="1">
      <c r="D693" s="94"/>
      <c r="E693" s="95"/>
      <c r="F693" s="95"/>
      <c r="G693" s="67"/>
      <c r="H693" s="67"/>
      <c r="I693" s="67"/>
      <c r="J693" s="67"/>
      <c r="K693" s="67"/>
      <c r="L693" s="67"/>
      <c r="M693" s="67"/>
      <c r="N693" s="67"/>
      <c r="O693" s="67"/>
      <c r="P693" s="67"/>
      <c r="Q693" s="67"/>
      <c r="R693" s="67"/>
    </row>
    <row r="694" spans="4:18" ht="15.75" customHeight="1">
      <c r="D694" s="94"/>
      <c r="E694" s="95"/>
      <c r="F694" s="95"/>
      <c r="G694" s="67"/>
      <c r="H694" s="67"/>
      <c r="I694" s="67"/>
      <c r="J694" s="67"/>
      <c r="K694" s="67"/>
      <c r="L694" s="67"/>
      <c r="M694" s="67"/>
      <c r="N694" s="67"/>
      <c r="O694" s="67"/>
      <c r="P694" s="67"/>
      <c r="Q694" s="67"/>
      <c r="R694" s="67"/>
    </row>
    <row r="695" spans="4:18" ht="15.75" customHeight="1">
      <c r="D695" s="94"/>
      <c r="E695" s="95"/>
      <c r="F695" s="95"/>
      <c r="G695" s="67"/>
      <c r="H695" s="67"/>
      <c r="I695" s="67"/>
      <c r="J695" s="67"/>
      <c r="K695" s="67"/>
      <c r="L695" s="67"/>
      <c r="M695" s="67"/>
      <c r="N695" s="67"/>
      <c r="O695" s="67"/>
      <c r="P695" s="67"/>
      <c r="Q695" s="67"/>
      <c r="R695" s="67"/>
    </row>
    <row r="696" spans="4:18" ht="15.75" customHeight="1">
      <c r="D696" s="94"/>
      <c r="E696" s="95"/>
      <c r="F696" s="95"/>
      <c r="G696" s="67"/>
      <c r="H696" s="67"/>
      <c r="I696" s="67"/>
      <c r="J696" s="67"/>
      <c r="K696" s="67"/>
      <c r="L696" s="67"/>
      <c r="M696" s="67"/>
      <c r="N696" s="67"/>
      <c r="O696" s="67"/>
      <c r="P696" s="67"/>
      <c r="Q696" s="67"/>
      <c r="R696" s="67"/>
    </row>
    <row r="697" spans="4:18" ht="15.75" customHeight="1">
      <c r="D697" s="94"/>
      <c r="E697" s="95"/>
      <c r="F697" s="95"/>
      <c r="G697" s="67"/>
      <c r="H697" s="67"/>
      <c r="I697" s="67"/>
      <c r="J697" s="67"/>
      <c r="K697" s="67"/>
      <c r="L697" s="67"/>
      <c r="M697" s="67"/>
      <c r="N697" s="67"/>
      <c r="O697" s="67"/>
      <c r="P697" s="67"/>
      <c r="Q697" s="67"/>
      <c r="R697" s="67"/>
    </row>
    <row r="698" spans="4:18" ht="15.75" customHeight="1">
      <c r="D698" s="94"/>
      <c r="E698" s="95"/>
      <c r="F698" s="95"/>
      <c r="G698" s="67"/>
      <c r="H698" s="67"/>
      <c r="I698" s="67"/>
      <c r="J698" s="67"/>
      <c r="K698" s="67"/>
      <c r="L698" s="67"/>
      <c r="M698" s="67"/>
      <c r="N698" s="67"/>
      <c r="O698" s="67"/>
      <c r="P698" s="67"/>
      <c r="Q698" s="67"/>
      <c r="R698" s="67"/>
    </row>
    <row r="699" spans="4:18" ht="15.75" customHeight="1">
      <c r="D699" s="94"/>
      <c r="E699" s="95"/>
      <c r="F699" s="95"/>
      <c r="G699" s="67"/>
      <c r="H699" s="67"/>
      <c r="I699" s="67"/>
      <c r="J699" s="67"/>
      <c r="K699" s="67"/>
      <c r="L699" s="67"/>
      <c r="M699" s="67"/>
      <c r="N699" s="67"/>
      <c r="O699" s="67"/>
      <c r="P699" s="67"/>
      <c r="Q699" s="67"/>
      <c r="R699" s="67"/>
    </row>
    <row r="700" spans="4:18" ht="15.75" customHeight="1">
      <c r="D700" s="94"/>
      <c r="E700" s="95"/>
      <c r="F700" s="95"/>
      <c r="G700" s="67"/>
      <c r="H700" s="67"/>
      <c r="I700" s="67"/>
      <c r="J700" s="67"/>
      <c r="K700" s="67"/>
      <c r="L700" s="67"/>
      <c r="M700" s="67"/>
      <c r="N700" s="67"/>
      <c r="O700" s="67"/>
      <c r="P700" s="67"/>
      <c r="Q700" s="67"/>
      <c r="R700" s="67"/>
    </row>
    <row r="701" spans="4:18" ht="15.75" customHeight="1">
      <c r="D701" s="94"/>
      <c r="E701" s="95"/>
      <c r="F701" s="95"/>
      <c r="G701" s="67"/>
      <c r="H701" s="67"/>
      <c r="I701" s="67"/>
      <c r="J701" s="67"/>
      <c r="K701" s="67"/>
      <c r="L701" s="67"/>
      <c r="M701" s="67"/>
      <c r="N701" s="67"/>
      <c r="O701" s="67"/>
      <c r="P701" s="67"/>
      <c r="Q701" s="67"/>
      <c r="R701" s="67"/>
    </row>
    <row r="702" spans="4:18" ht="15.75" customHeight="1">
      <c r="D702" s="94"/>
      <c r="E702" s="95"/>
      <c r="F702" s="95"/>
      <c r="G702" s="67"/>
      <c r="H702" s="67"/>
      <c r="I702" s="67"/>
      <c r="J702" s="67"/>
      <c r="K702" s="67"/>
      <c r="L702" s="67"/>
      <c r="M702" s="67"/>
      <c r="N702" s="67"/>
      <c r="O702" s="67"/>
      <c r="P702" s="67"/>
      <c r="Q702" s="67"/>
      <c r="R702" s="67"/>
    </row>
    <row r="703" spans="4:18" ht="15.75" customHeight="1">
      <c r="D703" s="94"/>
      <c r="E703" s="95"/>
      <c r="F703" s="95"/>
      <c r="G703" s="67"/>
      <c r="H703" s="67"/>
      <c r="I703" s="67"/>
      <c r="J703" s="67"/>
      <c r="K703" s="67"/>
      <c r="L703" s="67"/>
      <c r="M703" s="67"/>
      <c r="N703" s="67"/>
      <c r="O703" s="67"/>
      <c r="P703" s="67"/>
      <c r="Q703" s="67"/>
      <c r="R703" s="67"/>
    </row>
    <row r="704" spans="4:18" ht="15.75" customHeight="1">
      <c r="D704" s="94"/>
      <c r="E704" s="95"/>
      <c r="F704" s="95"/>
      <c r="G704" s="67"/>
      <c r="H704" s="67"/>
      <c r="I704" s="67"/>
      <c r="J704" s="67"/>
      <c r="K704" s="67"/>
      <c r="L704" s="67"/>
      <c r="M704" s="67"/>
      <c r="N704" s="67"/>
      <c r="O704" s="67"/>
      <c r="P704" s="67"/>
      <c r="Q704" s="67"/>
      <c r="R704" s="67"/>
    </row>
    <row r="705" spans="4:18" ht="15.75" customHeight="1">
      <c r="D705" s="94"/>
      <c r="E705" s="95"/>
      <c r="F705" s="95"/>
      <c r="G705" s="67"/>
      <c r="H705" s="67"/>
      <c r="I705" s="67"/>
      <c r="J705" s="67"/>
      <c r="K705" s="67"/>
      <c r="L705" s="67"/>
      <c r="M705" s="67"/>
      <c r="N705" s="67"/>
      <c r="O705" s="67"/>
      <c r="P705" s="67"/>
      <c r="Q705" s="67"/>
      <c r="R705" s="67"/>
    </row>
    <row r="706" spans="4:18" ht="15.75" customHeight="1">
      <c r="D706" s="94"/>
      <c r="E706" s="95"/>
      <c r="F706" s="95"/>
      <c r="G706" s="67"/>
      <c r="H706" s="67"/>
      <c r="I706" s="67"/>
      <c r="J706" s="67"/>
      <c r="K706" s="67"/>
      <c r="L706" s="67"/>
      <c r="M706" s="67"/>
      <c r="N706" s="67"/>
      <c r="O706" s="67"/>
      <c r="P706" s="67"/>
      <c r="Q706" s="67"/>
      <c r="R706" s="67"/>
    </row>
    <row r="707" spans="4:18" ht="15.75" customHeight="1">
      <c r="D707" s="94"/>
      <c r="E707" s="95"/>
      <c r="F707" s="95"/>
      <c r="G707" s="67"/>
      <c r="H707" s="67"/>
      <c r="I707" s="67"/>
      <c r="J707" s="67"/>
      <c r="K707" s="67"/>
      <c r="L707" s="67"/>
      <c r="M707" s="67"/>
      <c r="N707" s="67"/>
      <c r="O707" s="67"/>
      <c r="P707" s="67"/>
      <c r="Q707" s="67"/>
      <c r="R707" s="67"/>
    </row>
    <row r="708" spans="4:18" ht="15.75" customHeight="1">
      <c r="D708" s="94"/>
      <c r="E708" s="95"/>
      <c r="F708" s="95"/>
      <c r="G708" s="67"/>
      <c r="H708" s="67"/>
      <c r="I708" s="67"/>
      <c r="J708" s="67"/>
      <c r="K708" s="67"/>
      <c r="L708" s="67"/>
      <c r="M708" s="67"/>
      <c r="N708" s="67"/>
      <c r="O708" s="67"/>
      <c r="P708" s="67"/>
      <c r="Q708" s="67"/>
      <c r="R708" s="67"/>
    </row>
    <row r="709" spans="4:18" ht="15.75" customHeight="1">
      <c r="D709" s="94"/>
      <c r="E709" s="95"/>
      <c r="F709" s="95"/>
      <c r="G709" s="67"/>
      <c r="H709" s="67"/>
      <c r="I709" s="67"/>
      <c r="J709" s="67"/>
      <c r="K709" s="67"/>
      <c r="L709" s="67"/>
      <c r="M709" s="67"/>
      <c r="N709" s="67"/>
      <c r="O709" s="67"/>
      <c r="P709" s="67"/>
      <c r="Q709" s="67"/>
      <c r="R709" s="67"/>
    </row>
    <row r="710" spans="4:18" ht="15.75" customHeight="1">
      <c r="D710" s="94"/>
      <c r="E710" s="95"/>
      <c r="F710" s="95"/>
      <c r="G710" s="67"/>
      <c r="H710" s="67"/>
      <c r="I710" s="67"/>
      <c r="J710" s="67"/>
      <c r="K710" s="67"/>
      <c r="L710" s="67"/>
      <c r="M710" s="67"/>
      <c r="N710" s="67"/>
      <c r="O710" s="67"/>
      <c r="P710" s="67"/>
      <c r="Q710" s="67"/>
      <c r="R710" s="67"/>
    </row>
    <row r="711" spans="4:18" ht="15.75" customHeight="1">
      <c r="D711" s="94"/>
      <c r="E711" s="95"/>
      <c r="F711" s="95"/>
      <c r="G711" s="67"/>
      <c r="H711" s="67"/>
      <c r="I711" s="67"/>
      <c r="J711" s="67"/>
      <c r="K711" s="67"/>
      <c r="L711" s="67"/>
      <c r="M711" s="67"/>
      <c r="N711" s="67"/>
      <c r="O711" s="67"/>
      <c r="P711" s="67"/>
      <c r="Q711" s="67"/>
      <c r="R711" s="67"/>
    </row>
    <row r="712" spans="4:18" ht="15.75" customHeight="1">
      <c r="D712" s="94"/>
      <c r="E712" s="95"/>
      <c r="F712" s="95"/>
      <c r="G712" s="67"/>
      <c r="H712" s="67"/>
      <c r="I712" s="67"/>
      <c r="J712" s="67"/>
      <c r="K712" s="67"/>
      <c r="L712" s="67"/>
      <c r="M712" s="67"/>
      <c r="N712" s="67"/>
      <c r="O712" s="67"/>
      <c r="P712" s="67"/>
      <c r="Q712" s="67"/>
      <c r="R712" s="67"/>
    </row>
    <row r="713" spans="4:18" ht="15.75" customHeight="1">
      <c r="D713" s="94"/>
      <c r="E713" s="95"/>
      <c r="F713" s="95"/>
      <c r="G713" s="67"/>
      <c r="H713" s="67"/>
      <c r="I713" s="67"/>
      <c r="J713" s="67"/>
      <c r="K713" s="67"/>
      <c r="L713" s="67"/>
      <c r="M713" s="67"/>
      <c r="N713" s="67"/>
      <c r="O713" s="67"/>
      <c r="P713" s="67"/>
      <c r="Q713" s="67"/>
      <c r="R713" s="67"/>
    </row>
    <row r="714" spans="4:18" ht="15.75" customHeight="1">
      <c r="D714" s="94"/>
      <c r="E714" s="95"/>
      <c r="F714" s="95"/>
      <c r="G714" s="67"/>
      <c r="H714" s="67"/>
      <c r="I714" s="67"/>
      <c r="J714" s="67"/>
      <c r="K714" s="67"/>
      <c r="L714" s="67"/>
      <c r="M714" s="67"/>
      <c r="N714" s="67"/>
      <c r="O714" s="67"/>
      <c r="P714" s="67"/>
      <c r="Q714" s="67"/>
      <c r="R714" s="67"/>
    </row>
    <row r="715" spans="4:18" ht="15.75" customHeight="1">
      <c r="D715" s="94"/>
      <c r="E715" s="95"/>
      <c r="F715" s="95"/>
      <c r="G715" s="67"/>
      <c r="H715" s="67"/>
      <c r="I715" s="67"/>
      <c r="J715" s="67"/>
      <c r="K715" s="67"/>
      <c r="L715" s="67"/>
      <c r="M715" s="67"/>
      <c r="N715" s="67"/>
      <c r="O715" s="67"/>
      <c r="P715" s="67"/>
      <c r="Q715" s="67"/>
      <c r="R715" s="67"/>
    </row>
    <row r="716" spans="4:18" ht="15.75" customHeight="1">
      <c r="D716" s="94"/>
      <c r="E716" s="95"/>
      <c r="F716" s="95"/>
      <c r="G716" s="67"/>
      <c r="H716" s="67"/>
      <c r="I716" s="67"/>
      <c r="J716" s="67"/>
      <c r="K716" s="67"/>
      <c r="L716" s="67"/>
      <c r="M716" s="67"/>
      <c r="N716" s="67"/>
      <c r="O716" s="67"/>
      <c r="P716" s="67"/>
      <c r="Q716" s="67"/>
      <c r="R716" s="67"/>
    </row>
    <row r="717" spans="4:18" ht="15.75" customHeight="1">
      <c r="D717" s="94"/>
      <c r="E717" s="95"/>
      <c r="F717" s="95"/>
      <c r="G717" s="67"/>
      <c r="H717" s="67"/>
      <c r="I717" s="67"/>
      <c r="J717" s="67"/>
      <c r="K717" s="67"/>
      <c r="L717" s="67"/>
      <c r="M717" s="67"/>
      <c r="N717" s="67"/>
      <c r="O717" s="67"/>
      <c r="P717" s="67"/>
      <c r="Q717" s="67"/>
      <c r="R717" s="67"/>
    </row>
    <row r="718" spans="4:18" ht="15.75" customHeight="1">
      <c r="D718" s="94"/>
      <c r="E718" s="95"/>
      <c r="F718" s="95"/>
      <c r="G718" s="67"/>
      <c r="H718" s="67"/>
      <c r="I718" s="67"/>
      <c r="J718" s="67"/>
      <c r="K718" s="67"/>
      <c r="L718" s="67"/>
      <c r="M718" s="67"/>
      <c r="N718" s="67"/>
      <c r="O718" s="67"/>
      <c r="P718" s="67"/>
      <c r="Q718" s="67"/>
      <c r="R718" s="67"/>
    </row>
    <row r="719" spans="4:18" ht="15.75" customHeight="1">
      <c r="D719" s="94"/>
      <c r="E719" s="95"/>
      <c r="F719" s="95"/>
      <c r="G719" s="67"/>
      <c r="H719" s="67"/>
      <c r="I719" s="67"/>
      <c r="J719" s="67"/>
      <c r="K719" s="67"/>
      <c r="L719" s="67"/>
      <c r="M719" s="67"/>
      <c r="N719" s="67"/>
      <c r="O719" s="67"/>
      <c r="P719" s="67"/>
      <c r="Q719" s="67"/>
      <c r="R719" s="67"/>
    </row>
    <row r="720" spans="4:18" ht="15.75" customHeight="1">
      <c r="D720" s="94"/>
      <c r="E720" s="95"/>
      <c r="F720" s="95"/>
      <c r="G720" s="67"/>
      <c r="H720" s="67"/>
      <c r="I720" s="67"/>
      <c r="J720" s="67"/>
      <c r="K720" s="67"/>
      <c r="L720" s="67"/>
      <c r="M720" s="67"/>
      <c r="N720" s="67"/>
      <c r="O720" s="67"/>
      <c r="P720" s="67"/>
      <c r="Q720" s="67"/>
      <c r="R720" s="67"/>
    </row>
    <row r="721" spans="4:18" ht="15.75" customHeight="1">
      <c r="D721" s="94"/>
      <c r="E721" s="95"/>
      <c r="F721" s="95"/>
      <c r="G721" s="67"/>
      <c r="H721" s="67"/>
      <c r="I721" s="67"/>
      <c r="J721" s="67"/>
      <c r="K721" s="67"/>
      <c r="L721" s="67"/>
      <c r="M721" s="67"/>
      <c r="N721" s="67"/>
      <c r="O721" s="67"/>
      <c r="P721" s="67"/>
      <c r="Q721" s="67"/>
      <c r="R721" s="67"/>
    </row>
    <row r="722" spans="4:18" ht="15.75" customHeight="1">
      <c r="D722" s="94"/>
      <c r="E722" s="95"/>
      <c r="F722" s="95"/>
      <c r="G722" s="67"/>
      <c r="H722" s="67"/>
      <c r="I722" s="67"/>
      <c r="J722" s="67"/>
      <c r="K722" s="67"/>
      <c r="L722" s="67"/>
      <c r="M722" s="67"/>
      <c r="N722" s="67"/>
      <c r="O722" s="67"/>
      <c r="P722" s="67"/>
      <c r="Q722" s="67"/>
      <c r="R722" s="67"/>
    </row>
    <row r="723" spans="4:18" ht="15.75" customHeight="1">
      <c r="D723" s="94"/>
      <c r="E723" s="95"/>
      <c r="F723" s="95"/>
      <c r="G723" s="67"/>
      <c r="H723" s="67"/>
      <c r="I723" s="67"/>
      <c r="J723" s="67"/>
      <c r="K723" s="67"/>
      <c r="L723" s="67"/>
      <c r="M723" s="67"/>
      <c r="N723" s="67"/>
      <c r="O723" s="67"/>
      <c r="P723" s="67"/>
      <c r="Q723" s="67"/>
      <c r="R723" s="67"/>
    </row>
    <row r="724" spans="4:18" ht="15.75" customHeight="1">
      <c r="D724" s="94"/>
      <c r="E724" s="95"/>
      <c r="F724" s="95"/>
      <c r="G724" s="67"/>
      <c r="H724" s="67"/>
      <c r="I724" s="67"/>
      <c r="J724" s="67"/>
      <c r="K724" s="67"/>
      <c r="L724" s="67"/>
      <c r="M724" s="67"/>
      <c r="N724" s="67"/>
      <c r="O724" s="67"/>
      <c r="P724" s="67"/>
      <c r="Q724" s="67"/>
      <c r="R724" s="67"/>
    </row>
    <row r="725" spans="4:18" ht="15.75" customHeight="1">
      <c r="D725" s="94"/>
      <c r="E725" s="95"/>
      <c r="F725" s="95"/>
      <c r="G725" s="67"/>
      <c r="H725" s="67"/>
      <c r="I725" s="67"/>
      <c r="J725" s="67"/>
      <c r="K725" s="67"/>
      <c r="L725" s="67"/>
      <c r="M725" s="67"/>
      <c r="N725" s="67"/>
      <c r="O725" s="67"/>
      <c r="P725" s="67"/>
      <c r="Q725" s="67"/>
      <c r="R725" s="67"/>
    </row>
    <row r="726" spans="4:18" ht="15.75" customHeight="1">
      <c r="D726" s="94"/>
      <c r="E726" s="95"/>
      <c r="F726" s="95"/>
      <c r="G726" s="67"/>
      <c r="H726" s="67"/>
      <c r="I726" s="67"/>
      <c r="J726" s="67"/>
      <c r="K726" s="67"/>
      <c r="L726" s="67"/>
      <c r="M726" s="67"/>
      <c r="N726" s="67"/>
      <c r="O726" s="67"/>
      <c r="P726" s="67"/>
      <c r="Q726" s="67"/>
      <c r="R726" s="67"/>
    </row>
    <row r="727" spans="4:18" ht="15.75" customHeight="1">
      <c r="D727" s="94"/>
      <c r="E727" s="95"/>
      <c r="F727" s="95"/>
      <c r="G727" s="67"/>
      <c r="H727" s="67"/>
      <c r="I727" s="67"/>
      <c r="J727" s="67"/>
      <c r="K727" s="67"/>
      <c r="L727" s="67"/>
      <c r="M727" s="67"/>
      <c r="N727" s="67"/>
      <c r="O727" s="67"/>
      <c r="P727" s="67"/>
      <c r="Q727" s="67"/>
      <c r="R727" s="67"/>
    </row>
    <row r="728" spans="4:18" ht="15.75" customHeight="1">
      <c r="D728" s="94"/>
      <c r="E728" s="95"/>
      <c r="F728" s="95"/>
      <c r="G728" s="67"/>
      <c r="H728" s="67"/>
      <c r="I728" s="67"/>
      <c r="J728" s="67"/>
      <c r="K728" s="67"/>
      <c r="L728" s="67"/>
      <c r="M728" s="67"/>
      <c r="N728" s="67"/>
      <c r="O728" s="67"/>
      <c r="P728" s="67"/>
      <c r="Q728" s="67"/>
      <c r="R728" s="67"/>
    </row>
    <row r="729" spans="4:18" ht="15.75" customHeight="1">
      <c r="D729" s="94"/>
      <c r="E729" s="95"/>
      <c r="F729" s="95"/>
      <c r="G729" s="67"/>
      <c r="H729" s="67"/>
      <c r="I729" s="67"/>
      <c r="J729" s="67"/>
      <c r="K729" s="67"/>
      <c r="L729" s="67"/>
      <c r="M729" s="67"/>
      <c r="N729" s="67"/>
      <c r="O729" s="67"/>
      <c r="P729" s="67"/>
      <c r="Q729" s="67"/>
      <c r="R729" s="67"/>
    </row>
    <row r="730" spans="4:18" ht="15.75" customHeight="1">
      <c r="D730" s="94"/>
      <c r="E730" s="95"/>
      <c r="F730" s="95"/>
      <c r="G730" s="67"/>
      <c r="H730" s="67"/>
      <c r="I730" s="67"/>
      <c r="J730" s="67"/>
      <c r="K730" s="67"/>
      <c r="L730" s="67"/>
      <c r="M730" s="67"/>
      <c r="N730" s="67"/>
      <c r="O730" s="67"/>
      <c r="P730" s="67"/>
      <c r="Q730" s="67"/>
      <c r="R730" s="67"/>
    </row>
    <row r="731" spans="4:18" ht="15.75" customHeight="1">
      <c r="D731" s="94"/>
      <c r="E731" s="95"/>
      <c r="F731" s="95"/>
      <c r="G731" s="67"/>
      <c r="H731" s="67"/>
      <c r="I731" s="67"/>
      <c r="J731" s="67"/>
      <c r="K731" s="67"/>
      <c r="L731" s="67"/>
      <c r="M731" s="67"/>
      <c r="N731" s="67"/>
      <c r="O731" s="67"/>
      <c r="P731" s="67"/>
      <c r="Q731" s="67"/>
      <c r="R731" s="67"/>
    </row>
    <row r="732" spans="4:18" ht="15.75" customHeight="1">
      <c r="D732" s="94"/>
      <c r="E732" s="95"/>
      <c r="F732" s="95"/>
      <c r="G732" s="67"/>
      <c r="H732" s="67"/>
      <c r="I732" s="67"/>
      <c r="J732" s="67"/>
      <c r="K732" s="67"/>
      <c r="L732" s="67"/>
      <c r="M732" s="67"/>
      <c r="N732" s="67"/>
      <c r="O732" s="67"/>
      <c r="P732" s="67"/>
      <c r="Q732" s="67"/>
      <c r="R732" s="67"/>
    </row>
    <row r="733" spans="4:18" ht="15.75" customHeight="1">
      <c r="D733" s="94"/>
      <c r="E733" s="95"/>
      <c r="F733" s="95"/>
      <c r="G733" s="67"/>
      <c r="H733" s="67"/>
      <c r="I733" s="67"/>
      <c r="J733" s="67"/>
      <c r="K733" s="67"/>
      <c r="L733" s="67"/>
      <c r="M733" s="67"/>
      <c r="N733" s="67"/>
      <c r="O733" s="67"/>
      <c r="P733" s="67"/>
      <c r="Q733" s="67"/>
      <c r="R733" s="67"/>
    </row>
    <row r="734" spans="4:18" ht="15.75" customHeight="1">
      <c r="D734" s="94"/>
      <c r="E734" s="95"/>
      <c r="F734" s="95"/>
      <c r="G734" s="67"/>
      <c r="H734" s="67"/>
      <c r="I734" s="67"/>
      <c r="J734" s="67"/>
      <c r="K734" s="67"/>
      <c r="L734" s="67"/>
      <c r="M734" s="67"/>
      <c r="N734" s="67"/>
      <c r="O734" s="67"/>
      <c r="P734" s="67"/>
      <c r="Q734" s="67"/>
      <c r="R734" s="67"/>
    </row>
    <row r="735" spans="4:18" ht="15.75" customHeight="1">
      <c r="D735" s="94"/>
      <c r="E735" s="95"/>
      <c r="F735" s="95"/>
      <c r="G735" s="67"/>
      <c r="H735" s="67"/>
      <c r="I735" s="67"/>
      <c r="J735" s="67"/>
      <c r="K735" s="67"/>
      <c r="L735" s="67"/>
      <c r="M735" s="67"/>
      <c r="N735" s="67"/>
      <c r="O735" s="67"/>
      <c r="P735" s="67"/>
      <c r="Q735" s="67"/>
      <c r="R735" s="67"/>
    </row>
    <row r="736" spans="4:18" ht="15.75" customHeight="1">
      <c r="D736" s="94"/>
      <c r="E736" s="95"/>
      <c r="F736" s="95"/>
      <c r="G736" s="67"/>
      <c r="H736" s="67"/>
      <c r="I736" s="67"/>
      <c r="J736" s="67"/>
      <c r="K736" s="67"/>
      <c r="L736" s="67"/>
      <c r="M736" s="67"/>
      <c r="N736" s="67"/>
      <c r="O736" s="67"/>
      <c r="P736" s="67"/>
      <c r="Q736" s="67"/>
      <c r="R736" s="67"/>
    </row>
    <row r="737" spans="4:18" ht="15.75" customHeight="1">
      <c r="D737" s="94"/>
      <c r="E737" s="95"/>
      <c r="F737" s="95"/>
      <c r="G737" s="67"/>
      <c r="H737" s="67"/>
      <c r="I737" s="67"/>
      <c r="J737" s="67"/>
      <c r="K737" s="67"/>
      <c r="L737" s="67"/>
      <c r="M737" s="67"/>
      <c r="N737" s="67"/>
      <c r="O737" s="67"/>
      <c r="P737" s="67"/>
      <c r="Q737" s="67"/>
      <c r="R737" s="67"/>
    </row>
    <row r="738" spans="4:18" ht="15.75" customHeight="1">
      <c r="D738" s="94"/>
      <c r="E738" s="95"/>
      <c r="F738" s="95"/>
      <c r="G738" s="67"/>
      <c r="H738" s="67"/>
      <c r="I738" s="67"/>
      <c r="J738" s="67"/>
      <c r="K738" s="67"/>
      <c r="L738" s="67"/>
      <c r="M738" s="67"/>
      <c r="N738" s="67"/>
      <c r="O738" s="67"/>
      <c r="P738" s="67"/>
      <c r="Q738" s="67"/>
      <c r="R738" s="67"/>
    </row>
    <row r="739" spans="4:18" ht="15.75" customHeight="1">
      <c r="D739" s="94"/>
      <c r="E739" s="95"/>
      <c r="F739" s="95"/>
      <c r="G739" s="67"/>
      <c r="H739" s="67"/>
      <c r="I739" s="67"/>
      <c r="J739" s="67"/>
      <c r="K739" s="67"/>
      <c r="L739" s="67"/>
      <c r="M739" s="67"/>
      <c r="N739" s="67"/>
      <c r="O739" s="67"/>
      <c r="P739" s="67"/>
      <c r="Q739" s="67"/>
      <c r="R739" s="67"/>
    </row>
    <row r="740" spans="4:18" ht="15.75" customHeight="1">
      <c r="D740" s="94"/>
      <c r="E740" s="95"/>
      <c r="F740" s="95"/>
      <c r="G740" s="67"/>
      <c r="H740" s="67"/>
      <c r="I740" s="67"/>
      <c r="J740" s="67"/>
      <c r="K740" s="67"/>
      <c r="L740" s="67"/>
      <c r="M740" s="67"/>
      <c r="N740" s="67"/>
      <c r="O740" s="67"/>
      <c r="P740" s="67"/>
      <c r="Q740" s="67"/>
      <c r="R740" s="67"/>
    </row>
    <row r="741" spans="4:18" ht="15.75" customHeight="1">
      <c r="D741" s="94"/>
      <c r="E741" s="95"/>
      <c r="F741" s="95"/>
      <c r="G741" s="67"/>
      <c r="H741" s="67"/>
      <c r="I741" s="67"/>
      <c r="J741" s="67"/>
      <c r="K741" s="67"/>
      <c r="L741" s="67"/>
      <c r="M741" s="67"/>
      <c r="N741" s="67"/>
      <c r="O741" s="67"/>
      <c r="P741" s="67"/>
      <c r="Q741" s="67"/>
      <c r="R741" s="67"/>
    </row>
    <row r="742" spans="4:18" ht="15.75" customHeight="1">
      <c r="D742" s="94"/>
      <c r="E742" s="95"/>
      <c r="F742" s="95"/>
      <c r="G742" s="67"/>
      <c r="H742" s="67"/>
      <c r="I742" s="67"/>
      <c r="J742" s="67"/>
      <c r="K742" s="67"/>
      <c r="L742" s="67"/>
      <c r="M742" s="67"/>
      <c r="N742" s="67"/>
      <c r="O742" s="67"/>
      <c r="P742" s="67"/>
      <c r="Q742" s="67"/>
      <c r="R742" s="67"/>
    </row>
    <row r="743" spans="4:18" ht="15.75" customHeight="1">
      <c r="D743" s="94"/>
      <c r="E743" s="95"/>
      <c r="F743" s="95"/>
      <c r="G743" s="67"/>
      <c r="H743" s="67"/>
      <c r="I743" s="67"/>
      <c r="J743" s="67"/>
      <c r="K743" s="67"/>
      <c r="L743" s="67"/>
      <c r="M743" s="67"/>
      <c r="N743" s="67"/>
      <c r="O743" s="67"/>
      <c r="P743" s="67"/>
      <c r="Q743" s="67"/>
      <c r="R743" s="67"/>
    </row>
    <row r="744" spans="4:18" ht="15.75" customHeight="1">
      <c r="D744" s="94"/>
      <c r="E744" s="95"/>
      <c r="F744" s="95"/>
      <c r="G744" s="67"/>
      <c r="H744" s="67"/>
      <c r="I744" s="67"/>
      <c r="J744" s="67"/>
      <c r="K744" s="67"/>
      <c r="L744" s="67"/>
      <c r="M744" s="67"/>
      <c r="N744" s="67"/>
      <c r="O744" s="67"/>
      <c r="P744" s="67"/>
      <c r="Q744" s="67"/>
      <c r="R744" s="67"/>
    </row>
    <row r="745" spans="4:18" ht="15.75" customHeight="1">
      <c r="D745" s="94"/>
      <c r="E745" s="95"/>
      <c r="F745" s="95"/>
      <c r="G745" s="67"/>
      <c r="H745" s="67"/>
      <c r="I745" s="67"/>
      <c r="J745" s="67"/>
      <c r="K745" s="67"/>
      <c r="L745" s="67"/>
      <c r="M745" s="67"/>
      <c r="N745" s="67"/>
      <c r="O745" s="67"/>
      <c r="P745" s="67"/>
      <c r="Q745" s="67"/>
      <c r="R745" s="67"/>
    </row>
    <row r="746" spans="4:18" ht="15.75" customHeight="1">
      <c r="D746" s="94"/>
      <c r="E746" s="95"/>
      <c r="F746" s="95"/>
      <c r="G746" s="67"/>
      <c r="H746" s="67"/>
      <c r="I746" s="67"/>
      <c r="J746" s="67"/>
      <c r="K746" s="67"/>
      <c r="L746" s="67"/>
      <c r="M746" s="67"/>
      <c r="N746" s="67"/>
      <c r="O746" s="67"/>
      <c r="P746" s="67"/>
      <c r="Q746" s="67"/>
      <c r="R746" s="67"/>
    </row>
    <row r="747" spans="4:18" ht="15.75" customHeight="1">
      <c r="D747" s="94"/>
      <c r="E747" s="95"/>
      <c r="F747" s="95"/>
      <c r="G747" s="67"/>
      <c r="H747" s="67"/>
      <c r="I747" s="67"/>
      <c r="J747" s="67"/>
      <c r="K747" s="67"/>
      <c r="L747" s="67"/>
      <c r="M747" s="67"/>
      <c r="N747" s="67"/>
      <c r="O747" s="67"/>
      <c r="P747" s="67"/>
      <c r="Q747" s="67"/>
      <c r="R747" s="67"/>
    </row>
    <row r="748" spans="4:18" ht="15.75" customHeight="1">
      <c r="D748" s="94"/>
      <c r="E748" s="95"/>
      <c r="F748" s="95"/>
      <c r="G748" s="67"/>
      <c r="H748" s="67"/>
      <c r="I748" s="67"/>
      <c r="J748" s="67"/>
      <c r="K748" s="67"/>
      <c r="L748" s="67"/>
      <c r="M748" s="67"/>
      <c r="N748" s="67"/>
      <c r="O748" s="67"/>
      <c r="P748" s="67"/>
      <c r="Q748" s="67"/>
      <c r="R748" s="67"/>
    </row>
    <row r="749" spans="4:18" ht="15.75" customHeight="1">
      <c r="D749" s="94"/>
      <c r="E749" s="95"/>
      <c r="F749" s="95"/>
      <c r="G749" s="67"/>
      <c r="H749" s="67"/>
      <c r="I749" s="67"/>
      <c r="J749" s="67"/>
      <c r="K749" s="67"/>
      <c r="L749" s="67"/>
      <c r="M749" s="67"/>
      <c r="N749" s="67"/>
      <c r="O749" s="67"/>
      <c r="P749" s="67"/>
      <c r="Q749" s="67"/>
      <c r="R749" s="67"/>
    </row>
    <row r="750" spans="4:18" ht="15.75" customHeight="1">
      <c r="D750" s="94"/>
      <c r="E750" s="95"/>
      <c r="F750" s="95"/>
      <c r="G750" s="67"/>
      <c r="H750" s="67"/>
      <c r="I750" s="67"/>
      <c r="J750" s="67"/>
      <c r="K750" s="67"/>
      <c r="L750" s="67"/>
      <c r="M750" s="67"/>
      <c r="N750" s="67"/>
      <c r="O750" s="67"/>
      <c r="P750" s="67"/>
      <c r="Q750" s="67"/>
      <c r="R750" s="67"/>
    </row>
    <row r="751" spans="4:18" ht="15.75" customHeight="1">
      <c r="D751" s="94"/>
      <c r="E751" s="95"/>
      <c r="F751" s="95"/>
      <c r="G751" s="67"/>
      <c r="H751" s="67"/>
      <c r="I751" s="67"/>
      <c r="J751" s="67"/>
      <c r="K751" s="67"/>
      <c r="L751" s="67"/>
      <c r="M751" s="67"/>
      <c r="N751" s="67"/>
      <c r="O751" s="67"/>
      <c r="P751" s="67"/>
      <c r="Q751" s="67"/>
      <c r="R751" s="67"/>
    </row>
    <row r="752" spans="4:18" ht="15.75" customHeight="1">
      <c r="D752" s="94"/>
      <c r="E752" s="95"/>
      <c r="F752" s="95"/>
      <c r="G752" s="67"/>
      <c r="H752" s="67"/>
      <c r="I752" s="67"/>
      <c r="J752" s="67"/>
      <c r="K752" s="67"/>
      <c r="L752" s="67"/>
      <c r="M752" s="67"/>
      <c r="N752" s="67"/>
      <c r="O752" s="67"/>
      <c r="P752" s="67"/>
      <c r="Q752" s="67"/>
      <c r="R752" s="67"/>
    </row>
    <row r="753" spans="4:18" ht="15.75" customHeight="1">
      <c r="D753" s="94"/>
      <c r="E753" s="95"/>
      <c r="F753" s="95"/>
      <c r="G753" s="67"/>
      <c r="H753" s="67"/>
      <c r="I753" s="67"/>
      <c r="J753" s="67"/>
      <c r="K753" s="67"/>
      <c r="L753" s="67"/>
      <c r="M753" s="67"/>
      <c r="N753" s="67"/>
      <c r="O753" s="67"/>
      <c r="P753" s="67"/>
      <c r="Q753" s="67"/>
      <c r="R753" s="67"/>
    </row>
    <row r="754" spans="4:18" ht="15.75" customHeight="1">
      <c r="D754" s="94"/>
      <c r="E754" s="95"/>
      <c r="F754" s="95"/>
      <c r="G754" s="67"/>
      <c r="H754" s="67"/>
      <c r="I754" s="67"/>
      <c r="J754" s="67"/>
      <c r="K754" s="67"/>
      <c r="L754" s="67"/>
      <c r="M754" s="67"/>
      <c r="N754" s="67"/>
      <c r="O754" s="67"/>
      <c r="P754" s="67"/>
      <c r="Q754" s="67"/>
      <c r="R754" s="67"/>
    </row>
    <row r="755" spans="4:18" ht="15.75" customHeight="1">
      <c r="D755" s="94"/>
      <c r="E755" s="95"/>
      <c r="F755" s="95"/>
      <c r="G755" s="67"/>
      <c r="H755" s="67"/>
      <c r="I755" s="67"/>
      <c r="J755" s="67"/>
      <c r="K755" s="67"/>
      <c r="L755" s="67"/>
      <c r="M755" s="67"/>
      <c r="N755" s="67"/>
      <c r="O755" s="67"/>
      <c r="P755" s="67"/>
      <c r="Q755" s="67"/>
      <c r="R755" s="67"/>
    </row>
    <row r="756" spans="4:18" ht="15.75" customHeight="1">
      <c r="D756" s="94"/>
      <c r="E756" s="95"/>
      <c r="F756" s="95"/>
      <c r="G756" s="67"/>
      <c r="H756" s="67"/>
      <c r="I756" s="67"/>
      <c r="J756" s="67"/>
      <c r="K756" s="67"/>
      <c r="L756" s="67"/>
      <c r="M756" s="67"/>
      <c r="N756" s="67"/>
      <c r="O756" s="67"/>
      <c r="P756" s="67"/>
      <c r="Q756" s="67"/>
      <c r="R756" s="67"/>
    </row>
    <row r="757" spans="4:18" ht="15.75" customHeight="1">
      <c r="D757" s="94"/>
      <c r="E757" s="95"/>
      <c r="F757" s="95"/>
      <c r="G757" s="67"/>
      <c r="H757" s="67"/>
      <c r="I757" s="67"/>
      <c r="J757" s="67"/>
      <c r="K757" s="67"/>
      <c r="L757" s="67"/>
      <c r="M757" s="67"/>
      <c r="N757" s="67"/>
      <c r="O757" s="67"/>
      <c r="P757" s="67"/>
      <c r="Q757" s="67"/>
      <c r="R757" s="67"/>
    </row>
    <row r="758" spans="4:18" ht="15.75" customHeight="1">
      <c r="D758" s="94"/>
      <c r="E758" s="95"/>
      <c r="F758" s="95"/>
      <c r="G758" s="67"/>
      <c r="H758" s="67"/>
      <c r="I758" s="67"/>
      <c r="J758" s="67"/>
      <c r="K758" s="67"/>
      <c r="L758" s="67"/>
      <c r="M758" s="67"/>
      <c r="N758" s="67"/>
      <c r="O758" s="67"/>
      <c r="P758" s="67"/>
      <c r="Q758" s="67"/>
      <c r="R758" s="67"/>
    </row>
    <row r="759" spans="4:18" ht="15.75" customHeight="1">
      <c r="D759" s="94"/>
      <c r="E759" s="95"/>
      <c r="F759" s="95"/>
      <c r="G759" s="67"/>
      <c r="H759" s="67"/>
      <c r="I759" s="67"/>
      <c r="J759" s="67"/>
      <c r="K759" s="67"/>
      <c r="L759" s="67"/>
      <c r="M759" s="67"/>
      <c r="N759" s="67"/>
      <c r="O759" s="67"/>
      <c r="P759" s="67"/>
      <c r="Q759" s="67"/>
      <c r="R759" s="67"/>
    </row>
    <row r="760" spans="4:18" ht="15.75" customHeight="1">
      <c r="D760" s="94"/>
      <c r="E760" s="95"/>
      <c r="F760" s="95"/>
      <c r="G760" s="67"/>
      <c r="H760" s="67"/>
      <c r="I760" s="67"/>
      <c r="J760" s="67"/>
      <c r="K760" s="67"/>
      <c r="L760" s="67"/>
      <c r="M760" s="67"/>
      <c r="N760" s="67"/>
      <c r="O760" s="67"/>
      <c r="P760" s="67"/>
      <c r="Q760" s="67"/>
      <c r="R760" s="67"/>
    </row>
    <row r="761" spans="4:18" ht="15.75" customHeight="1">
      <c r="D761" s="94"/>
      <c r="E761" s="95"/>
      <c r="F761" s="95"/>
      <c r="G761" s="67"/>
      <c r="H761" s="67"/>
      <c r="I761" s="67"/>
      <c r="J761" s="67"/>
      <c r="K761" s="67"/>
      <c r="L761" s="67"/>
      <c r="M761" s="67"/>
      <c r="N761" s="67"/>
      <c r="O761" s="67"/>
      <c r="P761" s="67"/>
      <c r="Q761" s="67"/>
      <c r="R761" s="67"/>
    </row>
    <row r="762" spans="4:18" ht="15.75" customHeight="1">
      <c r="D762" s="94"/>
      <c r="E762" s="95"/>
      <c r="F762" s="95"/>
      <c r="G762" s="67"/>
      <c r="H762" s="67"/>
      <c r="I762" s="67"/>
      <c r="J762" s="67"/>
      <c r="K762" s="67"/>
      <c r="L762" s="67"/>
      <c r="M762" s="67"/>
      <c r="N762" s="67"/>
      <c r="O762" s="67"/>
      <c r="P762" s="67"/>
      <c r="Q762" s="67"/>
      <c r="R762" s="67"/>
    </row>
    <row r="763" spans="4:18" ht="15.75" customHeight="1">
      <c r="D763" s="94"/>
      <c r="E763" s="95"/>
      <c r="F763" s="95"/>
      <c r="G763" s="67"/>
      <c r="H763" s="67"/>
      <c r="I763" s="67"/>
      <c r="J763" s="67"/>
      <c r="K763" s="67"/>
      <c r="L763" s="67"/>
      <c r="M763" s="67"/>
      <c r="N763" s="67"/>
      <c r="O763" s="67"/>
      <c r="P763" s="67"/>
      <c r="Q763" s="67"/>
      <c r="R763" s="67"/>
    </row>
    <row r="764" spans="4:18" ht="15.75" customHeight="1">
      <c r="D764" s="94"/>
      <c r="E764" s="95"/>
      <c r="F764" s="95"/>
      <c r="G764" s="67"/>
      <c r="H764" s="67"/>
      <c r="I764" s="67"/>
      <c r="J764" s="67"/>
      <c r="K764" s="67"/>
      <c r="L764" s="67"/>
      <c r="M764" s="67"/>
      <c r="N764" s="67"/>
      <c r="O764" s="67"/>
      <c r="P764" s="67"/>
      <c r="Q764" s="67"/>
      <c r="R764" s="67"/>
    </row>
    <row r="765" spans="4:18" ht="15.75" customHeight="1">
      <c r="D765" s="94"/>
      <c r="E765" s="95"/>
      <c r="F765" s="95"/>
      <c r="G765" s="67"/>
      <c r="H765" s="67"/>
      <c r="I765" s="67"/>
      <c r="J765" s="67"/>
      <c r="K765" s="67"/>
      <c r="L765" s="67"/>
      <c r="M765" s="67"/>
      <c r="N765" s="67"/>
      <c r="O765" s="67"/>
      <c r="P765" s="67"/>
      <c r="Q765" s="67"/>
      <c r="R765" s="67"/>
    </row>
    <row r="766" spans="4:18" ht="15.75" customHeight="1">
      <c r="D766" s="94"/>
      <c r="E766" s="95"/>
      <c r="F766" s="95"/>
      <c r="G766" s="67"/>
      <c r="H766" s="67"/>
      <c r="I766" s="67"/>
      <c r="J766" s="67"/>
      <c r="K766" s="67"/>
      <c r="L766" s="67"/>
      <c r="M766" s="67"/>
      <c r="N766" s="67"/>
      <c r="O766" s="67"/>
      <c r="P766" s="67"/>
      <c r="Q766" s="67"/>
      <c r="R766" s="67"/>
    </row>
    <row r="767" spans="4:18" ht="15.75" customHeight="1">
      <c r="D767" s="94"/>
      <c r="E767" s="95"/>
      <c r="F767" s="95"/>
      <c r="G767" s="67"/>
      <c r="H767" s="67"/>
      <c r="I767" s="67"/>
      <c r="J767" s="67"/>
      <c r="K767" s="67"/>
      <c r="L767" s="67"/>
      <c r="M767" s="67"/>
      <c r="N767" s="67"/>
      <c r="O767" s="67"/>
      <c r="P767" s="67"/>
      <c r="Q767" s="67"/>
      <c r="R767" s="67"/>
    </row>
    <row r="768" spans="4:18" ht="15.75" customHeight="1">
      <c r="D768" s="94"/>
      <c r="E768" s="95"/>
      <c r="F768" s="95"/>
      <c r="G768" s="67"/>
      <c r="H768" s="67"/>
      <c r="I768" s="67"/>
      <c r="J768" s="67"/>
      <c r="K768" s="67"/>
      <c r="L768" s="67"/>
      <c r="M768" s="67"/>
      <c r="N768" s="67"/>
      <c r="O768" s="67"/>
      <c r="P768" s="67"/>
      <c r="Q768" s="67"/>
      <c r="R768" s="67"/>
    </row>
    <row r="769" spans="4:18" ht="15.75" customHeight="1">
      <c r="D769" s="94"/>
      <c r="E769" s="95"/>
      <c r="F769" s="95"/>
      <c r="G769" s="67"/>
      <c r="H769" s="67"/>
      <c r="I769" s="67"/>
      <c r="J769" s="67"/>
      <c r="K769" s="67"/>
      <c r="L769" s="67"/>
      <c r="M769" s="67"/>
      <c r="N769" s="67"/>
      <c r="O769" s="67"/>
      <c r="P769" s="67"/>
      <c r="Q769" s="67"/>
      <c r="R769" s="67"/>
    </row>
    <row r="770" spans="4:18" ht="15.75" customHeight="1">
      <c r="D770" s="94"/>
      <c r="E770" s="95"/>
      <c r="F770" s="95"/>
      <c r="G770" s="67"/>
      <c r="H770" s="67"/>
      <c r="I770" s="67"/>
      <c r="J770" s="67"/>
      <c r="K770" s="67"/>
      <c r="L770" s="67"/>
      <c r="M770" s="67"/>
      <c r="N770" s="67"/>
      <c r="O770" s="67"/>
      <c r="P770" s="67"/>
      <c r="Q770" s="67"/>
      <c r="R770" s="67"/>
    </row>
    <row r="771" spans="4:18" ht="15.75" customHeight="1">
      <c r="D771" s="94"/>
      <c r="E771" s="95"/>
      <c r="F771" s="95"/>
      <c r="G771" s="67"/>
      <c r="H771" s="67"/>
      <c r="I771" s="67"/>
      <c r="J771" s="67"/>
      <c r="K771" s="67"/>
      <c r="L771" s="67"/>
      <c r="M771" s="67"/>
      <c r="N771" s="67"/>
      <c r="O771" s="67"/>
      <c r="P771" s="67"/>
      <c r="Q771" s="67"/>
      <c r="R771" s="67"/>
    </row>
    <row r="772" spans="4:18" ht="15.75" customHeight="1">
      <c r="D772" s="94"/>
      <c r="E772" s="95"/>
      <c r="F772" s="95"/>
      <c r="G772" s="67"/>
      <c r="H772" s="67"/>
      <c r="I772" s="67"/>
      <c r="J772" s="67"/>
      <c r="K772" s="67"/>
      <c r="L772" s="67"/>
      <c r="M772" s="67"/>
      <c r="N772" s="67"/>
      <c r="O772" s="67"/>
      <c r="P772" s="67"/>
      <c r="Q772" s="67"/>
      <c r="R772" s="67"/>
    </row>
    <row r="773" spans="4:18" ht="15.75" customHeight="1">
      <c r="D773" s="94"/>
      <c r="E773" s="95"/>
      <c r="F773" s="95"/>
      <c r="G773" s="67"/>
      <c r="H773" s="67"/>
      <c r="I773" s="67"/>
      <c r="J773" s="67"/>
      <c r="K773" s="67"/>
      <c r="L773" s="67"/>
      <c r="M773" s="67"/>
      <c r="N773" s="67"/>
      <c r="O773" s="67"/>
      <c r="P773" s="67"/>
      <c r="Q773" s="67"/>
      <c r="R773" s="67"/>
    </row>
    <row r="774" spans="4:18" ht="15.75" customHeight="1">
      <c r="D774" s="94"/>
      <c r="E774" s="95"/>
      <c r="F774" s="95"/>
      <c r="G774" s="67"/>
      <c r="H774" s="67"/>
      <c r="I774" s="67"/>
      <c r="J774" s="67"/>
      <c r="K774" s="67"/>
      <c r="L774" s="67"/>
      <c r="M774" s="67"/>
      <c r="N774" s="67"/>
      <c r="O774" s="67"/>
      <c r="P774" s="67"/>
      <c r="Q774" s="67"/>
      <c r="R774" s="67"/>
    </row>
    <row r="775" spans="4:18" ht="15.75" customHeight="1">
      <c r="D775" s="94"/>
      <c r="E775" s="95"/>
      <c r="F775" s="95"/>
      <c r="G775" s="67"/>
      <c r="H775" s="67"/>
      <c r="I775" s="67"/>
      <c r="J775" s="67"/>
      <c r="K775" s="67"/>
      <c r="L775" s="67"/>
      <c r="M775" s="67"/>
      <c r="N775" s="67"/>
      <c r="O775" s="67"/>
      <c r="P775" s="67"/>
      <c r="Q775" s="67"/>
      <c r="R775" s="67"/>
    </row>
    <row r="776" spans="4:18" ht="15.75" customHeight="1">
      <c r="D776" s="94"/>
      <c r="E776" s="95"/>
      <c r="F776" s="95"/>
      <c r="G776" s="67"/>
      <c r="H776" s="67"/>
      <c r="I776" s="67"/>
      <c r="J776" s="67"/>
      <c r="K776" s="67"/>
      <c r="L776" s="67"/>
      <c r="M776" s="67"/>
      <c r="N776" s="67"/>
      <c r="O776" s="67"/>
      <c r="P776" s="67"/>
      <c r="Q776" s="67"/>
      <c r="R776" s="67"/>
    </row>
    <row r="777" spans="4:18" ht="15.75" customHeight="1">
      <c r="D777" s="94"/>
      <c r="E777" s="95"/>
      <c r="F777" s="95"/>
      <c r="G777" s="67"/>
      <c r="H777" s="67"/>
      <c r="I777" s="67"/>
      <c r="J777" s="67"/>
      <c r="K777" s="67"/>
      <c r="L777" s="67"/>
      <c r="M777" s="67"/>
      <c r="N777" s="67"/>
      <c r="O777" s="67"/>
      <c r="P777" s="67"/>
      <c r="Q777" s="67"/>
      <c r="R777" s="67"/>
    </row>
    <row r="778" spans="4:18" ht="15.75" customHeight="1">
      <c r="D778" s="94"/>
      <c r="E778" s="95"/>
      <c r="F778" s="95"/>
      <c r="G778" s="67"/>
      <c r="H778" s="67"/>
      <c r="I778" s="67"/>
      <c r="J778" s="67"/>
      <c r="K778" s="67"/>
      <c r="L778" s="67"/>
      <c r="M778" s="67"/>
      <c r="N778" s="67"/>
      <c r="O778" s="67"/>
      <c r="P778" s="67"/>
      <c r="Q778" s="67"/>
      <c r="R778" s="67"/>
    </row>
    <row r="779" spans="4:18" ht="15.75" customHeight="1">
      <c r="D779" s="94"/>
      <c r="E779" s="95"/>
      <c r="F779" s="95"/>
      <c r="G779" s="67"/>
      <c r="H779" s="67"/>
      <c r="I779" s="67"/>
      <c r="J779" s="67"/>
      <c r="K779" s="67"/>
      <c r="L779" s="67"/>
      <c r="M779" s="67"/>
      <c r="N779" s="67"/>
      <c r="O779" s="67"/>
      <c r="P779" s="67"/>
      <c r="Q779" s="67"/>
      <c r="R779" s="67"/>
    </row>
    <row r="780" spans="4:18" ht="15.75" customHeight="1">
      <c r="D780" s="94"/>
      <c r="E780" s="95"/>
      <c r="F780" s="95"/>
      <c r="G780" s="67"/>
      <c r="H780" s="67"/>
      <c r="I780" s="67"/>
      <c r="J780" s="67"/>
      <c r="K780" s="67"/>
      <c r="L780" s="67"/>
      <c r="M780" s="67"/>
      <c r="N780" s="67"/>
      <c r="O780" s="67"/>
      <c r="P780" s="67"/>
      <c r="Q780" s="67"/>
      <c r="R780" s="67"/>
    </row>
    <row r="781" spans="4:18" ht="15.75" customHeight="1">
      <c r="D781" s="94"/>
      <c r="E781" s="95"/>
      <c r="F781" s="95"/>
      <c r="G781" s="67"/>
      <c r="H781" s="67"/>
      <c r="I781" s="67"/>
      <c r="J781" s="67"/>
      <c r="K781" s="67"/>
      <c r="L781" s="67"/>
      <c r="M781" s="67"/>
      <c r="N781" s="67"/>
      <c r="O781" s="67"/>
      <c r="P781" s="67"/>
      <c r="Q781" s="67"/>
      <c r="R781" s="67"/>
    </row>
    <row r="782" spans="4:18" ht="15.75" customHeight="1">
      <c r="D782" s="94"/>
      <c r="E782" s="95"/>
      <c r="F782" s="95"/>
      <c r="G782" s="67"/>
      <c r="H782" s="67"/>
      <c r="I782" s="67"/>
      <c r="J782" s="67"/>
      <c r="K782" s="67"/>
      <c r="L782" s="67"/>
      <c r="M782" s="67"/>
      <c r="N782" s="67"/>
      <c r="O782" s="67"/>
      <c r="P782" s="67"/>
      <c r="Q782" s="67"/>
      <c r="R782" s="67"/>
    </row>
    <row r="783" spans="4:18" ht="15.75" customHeight="1">
      <c r="D783" s="94"/>
      <c r="E783" s="95"/>
      <c r="F783" s="95"/>
      <c r="G783" s="67"/>
      <c r="H783" s="67"/>
      <c r="I783" s="67"/>
      <c r="J783" s="67"/>
      <c r="K783" s="67"/>
      <c r="L783" s="67"/>
      <c r="M783" s="67"/>
      <c r="N783" s="67"/>
      <c r="O783" s="67"/>
      <c r="P783" s="67"/>
      <c r="Q783" s="67"/>
      <c r="R783" s="67"/>
    </row>
    <row r="784" spans="4:18" ht="15.75" customHeight="1">
      <c r="D784" s="94"/>
      <c r="E784" s="95"/>
      <c r="F784" s="95"/>
      <c r="G784" s="67"/>
      <c r="H784" s="67"/>
      <c r="I784" s="67"/>
      <c r="J784" s="67"/>
      <c r="K784" s="67"/>
      <c r="L784" s="67"/>
      <c r="M784" s="67"/>
      <c r="N784" s="67"/>
      <c r="O784" s="67"/>
      <c r="P784" s="67"/>
      <c r="Q784" s="67"/>
      <c r="R784" s="67"/>
    </row>
    <row r="785" spans="4:18" ht="15.75" customHeight="1">
      <c r="D785" s="94"/>
      <c r="E785" s="95"/>
      <c r="F785" s="95"/>
      <c r="G785" s="67"/>
      <c r="H785" s="67"/>
      <c r="I785" s="67"/>
      <c r="J785" s="67"/>
      <c r="K785" s="67"/>
      <c r="L785" s="67"/>
      <c r="M785" s="67"/>
      <c r="N785" s="67"/>
      <c r="O785" s="67"/>
      <c r="P785" s="67"/>
      <c r="Q785" s="67"/>
      <c r="R785" s="67"/>
    </row>
    <row r="786" spans="4:18" ht="15.75" customHeight="1">
      <c r="D786" s="94"/>
      <c r="E786" s="95"/>
      <c r="F786" s="95"/>
      <c r="G786" s="67"/>
      <c r="H786" s="67"/>
      <c r="I786" s="67"/>
      <c r="J786" s="67"/>
      <c r="K786" s="67"/>
      <c r="L786" s="67"/>
      <c r="M786" s="67"/>
      <c r="N786" s="67"/>
      <c r="O786" s="67"/>
      <c r="P786" s="67"/>
      <c r="Q786" s="67"/>
      <c r="R786" s="67"/>
    </row>
    <row r="787" spans="4:18" ht="15.75" customHeight="1">
      <c r="D787" s="94"/>
      <c r="E787" s="95"/>
      <c r="F787" s="95"/>
      <c r="G787" s="67"/>
      <c r="H787" s="67"/>
      <c r="I787" s="67"/>
      <c r="J787" s="67"/>
      <c r="K787" s="67"/>
      <c r="L787" s="67"/>
      <c r="M787" s="67"/>
      <c r="N787" s="67"/>
      <c r="O787" s="67"/>
      <c r="P787" s="67"/>
      <c r="Q787" s="67"/>
      <c r="R787" s="67"/>
    </row>
    <row r="788" spans="4:18" ht="15.75" customHeight="1">
      <c r="D788" s="94"/>
      <c r="E788" s="95"/>
      <c r="F788" s="95"/>
      <c r="G788" s="67"/>
      <c r="H788" s="67"/>
      <c r="I788" s="67"/>
      <c r="J788" s="67"/>
      <c r="K788" s="67"/>
      <c r="L788" s="67"/>
      <c r="M788" s="67"/>
      <c r="N788" s="67"/>
      <c r="O788" s="67"/>
      <c r="P788" s="67"/>
      <c r="Q788" s="67"/>
      <c r="R788" s="67"/>
    </row>
    <row r="789" spans="4:18" ht="15.75" customHeight="1">
      <c r="D789" s="94"/>
      <c r="E789" s="95"/>
      <c r="F789" s="95"/>
      <c r="G789" s="67"/>
      <c r="H789" s="67"/>
      <c r="I789" s="67"/>
      <c r="J789" s="67"/>
      <c r="K789" s="67"/>
      <c r="L789" s="67"/>
      <c r="M789" s="67"/>
      <c r="N789" s="67"/>
      <c r="O789" s="67"/>
      <c r="P789" s="67"/>
      <c r="Q789" s="67"/>
      <c r="R789" s="67"/>
    </row>
    <row r="790" spans="4:18" ht="15.75" customHeight="1">
      <c r="D790" s="94"/>
      <c r="E790" s="95"/>
      <c r="F790" s="95"/>
      <c r="G790" s="67"/>
      <c r="H790" s="67"/>
      <c r="I790" s="67"/>
      <c r="J790" s="67"/>
      <c r="K790" s="67"/>
      <c r="L790" s="67"/>
      <c r="M790" s="67"/>
      <c r="N790" s="67"/>
      <c r="O790" s="67"/>
      <c r="P790" s="67"/>
      <c r="Q790" s="67"/>
      <c r="R790" s="67"/>
    </row>
    <row r="791" spans="4:18" ht="15.75" customHeight="1">
      <c r="D791" s="94"/>
      <c r="E791" s="95"/>
      <c r="F791" s="95"/>
      <c r="G791" s="67"/>
      <c r="H791" s="67"/>
      <c r="I791" s="67"/>
      <c r="J791" s="67"/>
      <c r="K791" s="67"/>
      <c r="L791" s="67"/>
      <c r="M791" s="67"/>
      <c r="N791" s="67"/>
      <c r="O791" s="67"/>
      <c r="P791" s="67"/>
      <c r="Q791" s="67"/>
      <c r="R791" s="67"/>
    </row>
    <row r="792" spans="4:18" ht="15.75" customHeight="1">
      <c r="D792" s="94"/>
      <c r="E792" s="95"/>
      <c r="F792" s="95"/>
      <c r="G792" s="67"/>
      <c r="H792" s="67"/>
      <c r="I792" s="67"/>
      <c r="J792" s="67"/>
      <c r="K792" s="67"/>
      <c r="L792" s="67"/>
      <c r="M792" s="67"/>
      <c r="N792" s="67"/>
      <c r="O792" s="67"/>
      <c r="P792" s="67"/>
      <c r="Q792" s="67"/>
      <c r="R792" s="67"/>
    </row>
    <row r="793" spans="4:18" ht="15.75" customHeight="1">
      <c r="D793" s="94"/>
      <c r="E793" s="95"/>
      <c r="F793" s="95"/>
      <c r="G793" s="67"/>
      <c r="H793" s="67"/>
      <c r="I793" s="67"/>
      <c r="J793" s="67"/>
      <c r="K793" s="67"/>
      <c r="L793" s="67"/>
      <c r="M793" s="67"/>
      <c r="N793" s="67"/>
      <c r="O793" s="67"/>
      <c r="P793" s="67"/>
      <c r="Q793" s="67"/>
      <c r="R793" s="67"/>
    </row>
    <row r="794" spans="4:18" ht="15.75" customHeight="1">
      <c r="D794" s="94"/>
      <c r="E794" s="95"/>
      <c r="F794" s="95"/>
      <c r="G794" s="67"/>
      <c r="H794" s="67"/>
      <c r="I794" s="67"/>
      <c r="J794" s="67"/>
      <c r="K794" s="67"/>
      <c r="L794" s="67"/>
      <c r="M794" s="67"/>
      <c r="N794" s="67"/>
      <c r="O794" s="67"/>
      <c r="P794" s="67"/>
      <c r="Q794" s="67"/>
      <c r="R794" s="67"/>
    </row>
    <row r="795" spans="4:18" ht="15.75" customHeight="1">
      <c r="D795" s="94"/>
      <c r="E795" s="95"/>
      <c r="F795" s="95"/>
      <c r="G795" s="67"/>
      <c r="H795" s="67"/>
      <c r="I795" s="67"/>
      <c r="J795" s="67"/>
      <c r="K795" s="67"/>
      <c r="L795" s="67"/>
      <c r="M795" s="67"/>
      <c r="N795" s="67"/>
      <c r="O795" s="67"/>
      <c r="P795" s="67"/>
      <c r="Q795" s="67"/>
      <c r="R795" s="67"/>
    </row>
    <row r="796" spans="4:18" ht="15.75" customHeight="1">
      <c r="D796" s="94"/>
      <c r="E796" s="95"/>
      <c r="F796" s="95"/>
      <c r="G796" s="67"/>
      <c r="H796" s="67"/>
      <c r="I796" s="67"/>
      <c r="J796" s="67"/>
      <c r="K796" s="67"/>
      <c r="L796" s="67"/>
      <c r="M796" s="67"/>
      <c r="N796" s="67"/>
      <c r="O796" s="67"/>
      <c r="P796" s="67"/>
      <c r="Q796" s="67"/>
      <c r="R796" s="67"/>
    </row>
    <row r="797" spans="4:18" ht="15.75" customHeight="1">
      <c r="D797" s="94"/>
      <c r="E797" s="95"/>
      <c r="F797" s="95"/>
      <c r="G797" s="67"/>
      <c r="H797" s="67"/>
      <c r="I797" s="67"/>
      <c r="J797" s="67"/>
      <c r="K797" s="67"/>
      <c r="L797" s="67"/>
      <c r="M797" s="67"/>
      <c r="N797" s="67"/>
      <c r="O797" s="67"/>
      <c r="P797" s="67"/>
      <c r="Q797" s="67"/>
      <c r="R797" s="67"/>
    </row>
    <row r="798" spans="4:18" ht="15.75" customHeight="1">
      <c r="D798" s="94"/>
      <c r="E798" s="95"/>
      <c r="F798" s="95"/>
      <c r="G798" s="67"/>
      <c r="H798" s="67"/>
      <c r="I798" s="67"/>
      <c r="J798" s="67"/>
      <c r="K798" s="67"/>
      <c r="L798" s="67"/>
      <c r="M798" s="67"/>
      <c r="N798" s="67"/>
      <c r="O798" s="67"/>
      <c r="P798" s="67"/>
      <c r="Q798" s="67"/>
      <c r="R798" s="67"/>
    </row>
    <row r="799" spans="4:18" ht="15.75" customHeight="1">
      <c r="D799" s="94"/>
      <c r="E799" s="95"/>
      <c r="F799" s="95"/>
      <c r="G799" s="67"/>
      <c r="H799" s="67"/>
      <c r="I799" s="67"/>
      <c r="J799" s="67"/>
      <c r="K799" s="67"/>
      <c r="L799" s="67"/>
      <c r="M799" s="67"/>
      <c r="N799" s="67"/>
      <c r="O799" s="67"/>
      <c r="P799" s="67"/>
      <c r="Q799" s="67"/>
      <c r="R799" s="67"/>
    </row>
    <row r="800" spans="4:18" ht="15.75" customHeight="1">
      <c r="D800" s="94"/>
      <c r="E800" s="95"/>
      <c r="F800" s="95"/>
      <c r="G800" s="67"/>
      <c r="H800" s="67"/>
      <c r="I800" s="67"/>
      <c r="J800" s="67"/>
      <c r="K800" s="67"/>
      <c r="L800" s="67"/>
      <c r="M800" s="67"/>
      <c r="N800" s="67"/>
      <c r="O800" s="67"/>
      <c r="P800" s="67"/>
      <c r="Q800" s="67"/>
      <c r="R800" s="67"/>
    </row>
    <row r="801" spans="4:18" ht="15.75" customHeight="1">
      <c r="D801" s="94"/>
      <c r="E801" s="95"/>
      <c r="F801" s="95"/>
      <c r="G801" s="67"/>
      <c r="H801" s="67"/>
      <c r="I801" s="67"/>
      <c r="J801" s="67"/>
      <c r="K801" s="67"/>
      <c r="L801" s="67"/>
      <c r="M801" s="67"/>
      <c r="N801" s="67"/>
      <c r="O801" s="67"/>
      <c r="P801" s="67"/>
      <c r="Q801" s="67"/>
      <c r="R801" s="67"/>
    </row>
    <row r="802" spans="4:18" ht="15.75" customHeight="1">
      <c r="D802" s="94"/>
      <c r="E802" s="95"/>
      <c r="F802" s="95"/>
      <c r="G802" s="67"/>
      <c r="H802" s="67"/>
      <c r="I802" s="67"/>
      <c r="J802" s="67"/>
      <c r="K802" s="67"/>
      <c r="L802" s="67"/>
      <c r="M802" s="67"/>
      <c r="N802" s="67"/>
      <c r="O802" s="67"/>
      <c r="P802" s="67"/>
      <c r="Q802" s="67"/>
      <c r="R802" s="67"/>
    </row>
    <row r="803" spans="4:18" ht="15.75" customHeight="1">
      <c r="D803" s="94"/>
      <c r="E803" s="95"/>
      <c r="F803" s="95"/>
      <c r="G803" s="67"/>
      <c r="H803" s="67"/>
      <c r="I803" s="67"/>
      <c r="J803" s="67"/>
      <c r="K803" s="67"/>
      <c r="L803" s="67"/>
      <c r="M803" s="67"/>
      <c r="N803" s="67"/>
      <c r="O803" s="67"/>
      <c r="P803" s="67"/>
      <c r="Q803" s="67"/>
      <c r="R803" s="67"/>
    </row>
    <row r="804" spans="4:18" ht="15.75" customHeight="1">
      <c r="D804" s="94"/>
      <c r="E804" s="95"/>
      <c r="F804" s="95"/>
      <c r="G804" s="67"/>
      <c r="H804" s="67"/>
      <c r="I804" s="67"/>
      <c r="J804" s="67"/>
      <c r="K804" s="67"/>
      <c r="L804" s="67"/>
      <c r="M804" s="67"/>
      <c r="N804" s="67"/>
      <c r="O804" s="67"/>
      <c r="P804" s="67"/>
      <c r="Q804" s="67"/>
      <c r="R804" s="67"/>
    </row>
    <row r="805" spans="4:18" ht="15.75" customHeight="1">
      <c r="D805" s="94"/>
      <c r="E805" s="95"/>
      <c r="F805" s="95"/>
      <c r="G805" s="67"/>
      <c r="H805" s="67"/>
      <c r="I805" s="67"/>
      <c r="J805" s="67"/>
      <c r="K805" s="67"/>
      <c r="L805" s="67"/>
      <c r="M805" s="67"/>
      <c r="N805" s="67"/>
      <c r="O805" s="67"/>
      <c r="P805" s="67"/>
      <c r="Q805" s="67"/>
      <c r="R805" s="67"/>
    </row>
    <row r="806" spans="4:18" ht="15.75" customHeight="1">
      <c r="D806" s="94"/>
      <c r="E806" s="95"/>
      <c r="F806" s="95"/>
      <c r="G806" s="67"/>
      <c r="H806" s="67"/>
      <c r="I806" s="67"/>
      <c r="J806" s="67"/>
      <c r="K806" s="67"/>
      <c r="L806" s="67"/>
      <c r="M806" s="67"/>
      <c r="N806" s="67"/>
      <c r="O806" s="67"/>
      <c r="P806" s="67"/>
      <c r="Q806" s="67"/>
      <c r="R806" s="67"/>
    </row>
    <row r="807" spans="4:18" ht="15.75" customHeight="1">
      <c r="D807" s="94"/>
      <c r="E807" s="95"/>
      <c r="F807" s="95"/>
      <c r="G807" s="67"/>
      <c r="H807" s="67"/>
      <c r="I807" s="67"/>
      <c r="J807" s="67"/>
      <c r="K807" s="67"/>
      <c r="L807" s="67"/>
      <c r="M807" s="67"/>
      <c r="N807" s="67"/>
      <c r="O807" s="67"/>
      <c r="P807" s="67"/>
      <c r="Q807" s="67"/>
      <c r="R807" s="67"/>
    </row>
    <row r="808" spans="4:18" ht="15.75" customHeight="1">
      <c r="D808" s="94"/>
      <c r="E808" s="95"/>
      <c r="F808" s="95"/>
      <c r="G808" s="67"/>
      <c r="H808" s="67"/>
      <c r="I808" s="67"/>
      <c r="J808" s="67"/>
      <c r="K808" s="67"/>
      <c r="L808" s="67"/>
      <c r="M808" s="67"/>
      <c r="N808" s="67"/>
      <c r="O808" s="67"/>
      <c r="P808" s="67"/>
      <c r="Q808" s="67"/>
      <c r="R808" s="67"/>
    </row>
    <row r="809" spans="4:18" ht="15.75" customHeight="1">
      <c r="D809" s="94"/>
      <c r="E809" s="95"/>
      <c r="F809" s="95"/>
      <c r="G809" s="67"/>
      <c r="H809" s="67"/>
      <c r="I809" s="67"/>
      <c r="J809" s="67"/>
      <c r="K809" s="67"/>
      <c r="L809" s="67"/>
      <c r="M809" s="67"/>
      <c r="N809" s="67"/>
      <c r="O809" s="67"/>
      <c r="P809" s="67"/>
      <c r="Q809" s="67"/>
      <c r="R809" s="67"/>
    </row>
    <row r="810" spans="4:18" ht="15.75" customHeight="1">
      <c r="D810" s="94"/>
      <c r="E810" s="95"/>
      <c r="F810" s="95"/>
      <c r="G810" s="67"/>
      <c r="H810" s="67"/>
      <c r="I810" s="67"/>
      <c r="J810" s="67"/>
      <c r="K810" s="67"/>
      <c r="L810" s="67"/>
      <c r="M810" s="67"/>
      <c r="N810" s="67"/>
      <c r="O810" s="67"/>
      <c r="P810" s="67"/>
      <c r="Q810" s="67"/>
      <c r="R810" s="67"/>
    </row>
    <row r="811" spans="4:18" ht="15.75" customHeight="1">
      <c r="D811" s="94"/>
      <c r="E811" s="95"/>
      <c r="F811" s="95"/>
      <c r="G811" s="67"/>
      <c r="H811" s="67"/>
      <c r="I811" s="67"/>
      <c r="J811" s="67"/>
      <c r="K811" s="67"/>
      <c r="L811" s="67"/>
      <c r="M811" s="67"/>
      <c r="N811" s="67"/>
      <c r="O811" s="67"/>
      <c r="P811" s="67"/>
      <c r="Q811" s="67"/>
      <c r="R811" s="67"/>
    </row>
    <row r="812" spans="4:18" ht="15.75" customHeight="1">
      <c r="D812" s="94"/>
      <c r="E812" s="95"/>
      <c r="F812" s="95"/>
      <c r="G812" s="67"/>
      <c r="H812" s="67"/>
      <c r="I812" s="67"/>
      <c r="J812" s="67"/>
      <c r="K812" s="67"/>
      <c r="L812" s="67"/>
      <c r="M812" s="67"/>
      <c r="N812" s="67"/>
      <c r="O812" s="67"/>
      <c r="P812" s="67"/>
      <c r="Q812" s="67"/>
      <c r="R812" s="67"/>
    </row>
    <row r="813" spans="4:18" ht="15.75" customHeight="1">
      <c r="D813" s="94"/>
      <c r="E813" s="95"/>
      <c r="F813" s="95"/>
      <c r="G813" s="67"/>
      <c r="H813" s="67"/>
      <c r="I813" s="67"/>
      <c r="J813" s="67"/>
      <c r="K813" s="67"/>
      <c r="L813" s="67"/>
      <c r="M813" s="67"/>
      <c r="N813" s="67"/>
      <c r="O813" s="67"/>
      <c r="P813" s="67"/>
      <c r="Q813" s="67"/>
      <c r="R813" s="67"/>
    </row>
    <row r="814" spans="4:18" ht="15.75" customHeight="1">
      <c r="D814" s="94"/>
      <c r="E814" s="95"/>
      <c r="F814" s="95"/>
      <c r="G814" s="67"/>
      <c r="H814" s="67"/>
      <c r="I814" s="67"/>
      <c r="J814" s="67"/>
      <c r="K814" s="67"/>
      <c r="L814" s="67"/>
      <c r="M814" s="67"/>
      <c r="N814" s="67"/>
      <c r="O814" s="67"/>
      <c r="P814" s="67"/>
      <c r="Q814" s="67"/>
      <c r="R814" s="67"/>
    </row>
    <row r="815" spans="4:18" ht="15.75" customHeight="1">
      <c r="D815" s="94"/>
      <c r="E815" s="95"/>
      <c r="F815" s="95"/>
      <c r="G815" s="67"/>
      <c r="H815" s="67"/>
      <c r="I815" s="67"/>
      <c r="J815" s="67"/>
      <c r="K815" s="67"/>
      <c r="L815" s="67"/>
      <c r="M815" s="67"/>
      <c r="N815" s="67"/>
      <c r="O815" s="67"/>
      <c r="P815" s="67"/>
      <c r="Q815" s="67"/>
      <c r="R815" s="67"/>
    </row>
    <row r="816" spans="4:18" ht="15.75" customHeight="1">
      <c r="D816" s="94"/>
      <c r="E816" s="95"/>
      <c r="F816" s="95"/>
      <c r="G816" s="67"/>
      <c r="H816" s="67"/>
      <c r="I816" s="67"/>
      <c r="J816" s="67"/>
      <c r="K816" s="67"/>
      <c r="L816" s="67"/>
      <c r="M816" s="67"/>
      <c r="N816" s="67"/>
      <c r="O816" s="67"/>
      <c r="P816" s="67"/>
      <c r="Q816" s="67"/>
      <c r="R816" s="67"/>
    </row>
    <row r="817" spans="4:18" ht="15.75" customHeight="1">
      <c r="D817" s="94"/>
      <c r="E817" s="95"/>
      <c r="F817" s="95"/>
      <c r="G817" s="67"/>
      <c r="H817" s="67"/>
      <c r="I817" s="67"/>
      <c r="J817" s="67"/>
      <c r="K817" s="67"/>
      <c r="L817" s="67"/>
      <c r="M817" s="67"/>
      <c r="N817" s="67"/>
      <c r="O817" s="67"/>
      <c r="P817" s="67"/>
      <c r="Q817" s="67"/>
      <c r="R817" s="67"/>
    </row>
    <row r="818" spans="4:18" ht="15.75" customHeight="1">
      <c r="D818" s="94"/>
      <c r="E818" s="95"/>
      <c r="F818" s="95"/>
      <c r="G818" s="67"/>
      <c r="H818" s="67"/>
      <c r="I818" s="67"/>
      <c r="J818" s="67"/>
      <c r="K818" s="67"/>
      <c r="L818" s="67"/>
      <c r="M818" s="67"/>
      <c r="N818" s="67"/>
      <c r="O818" s="67"/>
      <c r="P818" s="67"/>
      <c r="Q818" s="67"/>
      <c r="R818" s="67"/>
    </row>
    <row r="819" spans="4:18" ht="15.75" customHeight="1">
      <c r="D819" s="94"/>
      <c r="E819" s="95"/>
      <c r="F819" s="95"/>
      <c r="G819" s="67"/>
      <c r="H819" s="67"/>
      <c r="I819" s="67"/>
      <c r="J819" s="67"/>
      <c r="K819" s="67"/>
      <c r="L819" s="67"/>
      <c r="M819" s="67"/>
      <c r="N819" s="67"/>
      <c r="O819" s="67"/>
      <c r="P819" s="67"/>
      <c r="Q819" s="67"/>
      <c r="R819" s="67"/>
    </row>
    <row r="820" spans="4:18" ht="15.75" customHeight="1">
      <c r="D820" s="94"/>
      <c r="E820" s="95"/>
      <c r="F820" s="95"/>
      <c r="G820" s="67"/>
      <c r="H820" s="67"/>
      <c r="I820" s="67"/>
      <c r="J820" s="67"/>
      <c r="K820" s="67"/>
      <c r="L820" s="67"/>
      <c r="M820" s="67"/>
      <c r="N820" s="67"/>
      <c r="O820" s="67"/>
      <c r="P820" s="67"/>
      <c r="Q820" s="67"/>
      <c r="R820" s="67"/>
    </row>
    <row r="821" spans="4:18" ht="15.75" customHeight="1">
      <c r="D821" s="94"/>
      <c r="E821" s="95"/>
      <c r="F821" s="95"/>
      <c r="G821" s="67"/>
      <c r="H821" s="67"/>
      <c r="I821" s="67"/>
      <c r="J821" s="67"/>
      <c r="K821" s="67"/>
      <c r="L821" s="67"/>
      <c r="M821" s="67"/>
      <c r="N821" s="67"/>
      <c r="O821" s="67"/>
      <c r="P821" s="67"/>
      <c r="Q821" s="67"/>
      <c r="R821" s="67"/>
    </row>
    <row r="822" spans="4:18" ht="15.75" customHeight="1">
      <c r="D822" s="94"/>
      <c r="E822" s="95"/>
      <c r="F822" s="95"/>
      <c r="G822" s="67"/>
      <c r="H822" s="67"/>
      <c r="I822" s="67"/>
      <c r="J822" s="67"/>
      <c r="K822" s="67"/>
      <c r="L822" s="67"/>
      <c r="M822" s="67"/>
      <c r="N822" s="67"/>
      <c r="O822" s="67"/>
      <c r="P822" s="67"/>
      <c r="Q822" s="67"/>
      <c r="R822" s="67"/>
    </row>
    <row r="823" spans="4:18" ht="15.75" customHeight="1">
      <c r="D823" s="94"/>
      <c r="E823" s="95"/>
      <c r="F823" s="95"/>
      <c r="G823" s="67"/>
      <c r="H823" s="67"/>
      <c r="I823" s="67"/>
      <c r="J823" s="67"/>
      <c r="K823" s="67"/>
      <c r="L823" s="67"/>
      <c r="M823" s="67"/>
      <c r="N823" s="67"/>
      <c r="O823" s="67"/>
      <c r="P823" s="67"/>
      <c r="Q823" s="67"/>
      <c r="R823" s="67"/>
    </row>
    <row r="824" spans="4:18" ht="15.75" customHeight="1">
      <c r="D824" s="94"/>
      <c r="E824" s="95"/>
      <c r="F824" s="95"/>
      <c r="G824" s="67"/>
      <c r="H824" s="67"/>
      <c r="I824" s="67"/>
      <c r="J824" s="67"/>
      <c r="K824" s="67"/>
      <c r="L824" s="67"/>
      <c r="M824" s="67"/>
      <c r="N824" s="67"/>
      <c r="O824" s="67"/>
      <c r="P824" s="67"/>
      <c r="Q824" s="67"/>
      <c r="R824" s="67"/>
    </row>
    <row r="825" spans="4:18" ht="15.75" customHeight="1">
      <c r="D825" s="94"/>
      <c r="E825" s="95"/>
      <c r="F825" s="95"/>
      <c r="G825" s="67"/>
      <c r="H825" s="67"/>
      <c r="I825" s="67"/>
      <c r="J825" s="67"/>
      <c r="K825" s="67"/>
      <c r="L825" s="67"/>
      <c r="M825" s="67"/>
      <c r="N825" s="67"/>
      <c r="O825" s="67"/>
      <c r="P825" s="67"/>
      <c r="Q825" s="67"/>
      <c r="R825" s="67"/>
    </row>
    <row r="826" spans="4:18" ht="15.75" customHeight="1">
      <c r="D826" s="94"/>
      <c r="E826" s="95"/>
      <c r="F826" s="95"/>
      <c r="G826" s="67"/>
      <c r="H826" s="67"/>
      <c r="I826" s="67"/>
      <c r="J826" s="67"/>
      <c r="K826" s="67"/>
      <c r="L826" s="67"/>
      <c r="M826" s="67"/>
      <c r="N826" s="67"/>
      <c r="O826" s="67"/>
      <c r="P826" s="67"/>
      <c r="Q826" s="67"/>
      <c r="R826" s="67"/>
    </row>
    <row r="827" spans="4:18" ht="15.75" customHeight="1">
      <c r="D827" s="94"/>
      <c r="E827" s="95"/>
      <c r="F827" s="95"/>
      <c r="G827" s="67"/>
      <c r="H827" s="67"/>
      <c r="I827" s="67"/>
      <c r="J827" s="67"/>
      <c r="K827" s="67"/>
      <c r="L827" s="67"/>
      <c r="M827" s="67"/>
      <c r="N827" s="67"/>
      <c r="O827" s="67"/>
      <c r="P827" s="67"/>
      <c r="Q827" s="67"/>
      <c r="R827" s="67"/>
    </row>
    <row r="828" spans="4:18" ht="15.75" customHeight="1">
      <c r="D828" s="94"/>
      <c r="E828" s="95"/>
      <c r="F828" s="95"/>
      <c r="G828" s="67"/>
      <c r="H828" s="67"/>
      <c r="I828" s="67"/>
      <c r="J828" s="67"/>
      <c r="K828" s="67"/>
      <c r="L828" s="67"/>
      <c r="M828" s="67"/>
      <c r="N828" s="67"/>
      <c r="O828" s="67"/>
      <c r="P828" s="67"/>
      <c r="Q828" s="67"/>
      <c r="R828" s="67"/>
    </row>
    <row r="829" spans="4:18" ht="15.75" customHeight="1">
      <c r="D829" s="94"/>
      <c r="E829" s="95"/>
      <c r="F829" s="95"/>
      <c r="G829" s="67"/>
      <c r="H829" s="67"/>
      <c r="I829" s="67"/>
      <c r="J829" s="67"/>
      <c r="K829" s="67"/>
      <c r="L829" s="67"/>
      <c r="M829" s="67"/>
      <c r="N829" s="67"/>
      <c r="O829" s="67"/>
      <c r="P829" s="67"/>
      <c r="Q829" s="67"/>
      <c r="R829" s="67"/>
    </row>
    <row r="830" spans="4:18" ht="15.75" customHeight="1">
      <c r="D830" s="94"/>
      <c r="E830" s="95"/>
      <c r="F830" s="95"/>
      <c r="G830" s="67"/>
      <c r="H830" s="67"/>
      <c r="I830" s="67"/>
      <c r="J830" s="67"/>
      <c r="K830" s="67"/>
      <c r="L830" s="67"/>
      <c r="M830" s="67"/>
      <c r="N830" s="67"/>
      <c r="O830" s="67"/>
      <c r="P830" s="67"/>
      <c r="Q830" s="67"/>
      <c r="R830" s="67"/>
    </row>
    <row r="831" spans="4:18" ht="15.75" customHeight="1">
      <c r="D831" s="94"/>
      <c r="E831" s="95"/>
      <c r="F831" s="95"/>
      <c r="G831" s="67"/>
      <c r="H831" s="67"/>
      <c r="I831" s="67"/>
      <c r="J831" s="67"/>
      <c r="K831" s="67"/>
      <c r="L831" s="67"/>
      <c r="M831" s="67"/>
      <c r="N831" s="67"/>
      <c r="O831" s="67"/>
      <c r="P831" s="67"/>
      <c r="Q831" s="67"/>
      <c r="R831" s="67"/>
    </row>
    <row r="832" spans="4:18" ht="15.75" customHeight="1">
      <c r="D832" s="94"/>
      <c r="E832" s="95"/>
      <c r="F832" s="95"/>
      <c r="G832" s="67"/>
      <c r="H832" s="67"/>
      <c r="I832" s="67"/>
      <c r="J832" s="67"/>
      <c r="K832" s="67"/>
      <c r="L832" s="67"/>
      <c r="M832" s="67"/>
      <c r="N832" s="67"/>
      <c r="O832" s="67"/>
      <c r="P832" s="67"/>
      <c r="Q832" s="67"/>
      <c r="R832" s="67"/>
    </row>
    <row r="833" spans="4:18" ht="15.75" customHeight="1">
      <c r="D833" s="94"/>
      <c r="E833" s="95"/>
      <c r="F833" s="95"/>
      <c r="G833" s="67"/>
      <c r="H833" s="67"/>
      <c r="I833" s="67"/>
      <c r="J833" s="67"/>
      <c r="K833" s="67"/>
      <c r="L833" s="67"/>
      <c r="M833" s="67"/>
      <c r="N833" s="67"/>
      <c r="O833" s="67"/>
      <c r="P833" s="67"/>
      <c r="Q833" s="67"/>
      <c r="R833" s="67"/>
    </row>
    <row r="834" spans="4:18" ht="15.75" customHeight="1">
      <c r="D834" s="94"/>
      <c r="E834" s="95"/>
      <c r="F834" s="95"/>
      <c r="G834" s="67"/>
      <c r="H834" s="67"/>
      <c r="I834" s="67"/>
      <c r="J834" s="67"/>
      <c r="K834" s="67"/>
      <c r="L834" s="67"/>
      <c r="M834" s="67"/>
      <c r="N834" s="67"/>
      <c r="O834" s="67"/>
      <c r="P834" s="67"/>
      <c r="Q834" s="67"/>
      <c r="R834" s="67"/>
    </row>
    <row r="835" spans="4:18" ht="15.75" customHeight="1">
      <c r="D835" s="94"/>
      <c r="E835" s="95"/>
      <c r="F835" s="95"/>
      <c r="G835" s="67"/>
      <c r="H835" s="67"/>
      <c r="I835" s="67"/>
      <c r="J835" s="67"/>
      <c r="K835" s="67"/>
      <c r="L835" s="67"/>
      <c r="M835" s="67"/>
      <c r="N835" s="67"/>
      <c r="O835" s="67"/>
      <c r="P835" s="67"/>
      <c r="Q835" s="67"/>
      <c r="R835" s="67"/>
    </row>
    <row r="836" spans="4:18" ht="15.75" customHeight="1">
      <c r="D836" s="94"/>
      <c r="E836" s="95"/>
      <c r="F836" s="95"/>
      <c r="G836" s="67"/>
      <c r="H836" s="67"/>
      <c r="I836" s="67"/>
      <c r="J836" s="67"/>
      <c r="K836" s="67"/>
      <c r="L836" s="67"/>
      <c r="M836" s="67"/>
      <c r="N836" s="67"/>
      <c r="O836" s="67"/>
      <c r="P836" s="67"/>
      <c r="Q836" s="67"/>
      <c r="R836" s="67"/>
    </row>
    <row r="837" spans="4:18" ht="15.75" customHeight="1">
      <c r="D837" s="94"/>
      <c r="E837" s="95"/>
      <c r="F837" s="95"/>
      <c r="G837" s="67"/>
      <c r="H837" s="67"/>
      <c r="I837" s="67"/>
      <c r="J837" s="67"/>
      <c r="K837" s="67"/>
      <c r="L837" s="67"/>
      <c r="M837" s="67"/>
      <c r="N837" s="67"/>
      <c r="O837" s="67"/>
      <c r="P837" s="67"/>
      <c r="Q837" s="67"/>
      <c r="R837" s="67"/>
    </row>
    <row r="838" spans="4:18" ht="15.75" customHeight="1">
      <c r="D838" s="94"/>
      <c r="E838" s="95"/>
      <c r="F838" s="95"/>
      <c r="G838" s="67"/>
      <c r="H838" s="67"/>
      <c r="I838" s="67"/>
      <c r="J838" s="67"/>
      <c r="K838" s="67"/>
      <c r="L838" s="67"/>
      <c r="M838" s="67"/>
      <c r="N838" s="67"/>
      <c r="O838" s="67"/>
      <c r="P838" s="67"/>
      <c r="Q838" s="67"/>
      <c r="R838" s="67"/>
    </row>
    <row r="839" spans="4:18" ht="15.75" customHeight="1">
      <c r="D839" s="94"/>
      <c r="E839" s="95"/>
      <c r="F839" s="95"/>
      <c r="G839" s="67"/>
      <c r="H839" s="67"/>
      <c r="I839" s="67"/>
      <c r="J839" s="67"/>
      <c r="K839" s="67"/>
      <c r="L839" s="67"/>
      <c r="M839" s="67"/>
      <c r="N839" s="67"/>
      <c r="O839" s="67"/>
      <c r="P839" s="67"/>
      <c r="Q839" s="67"/>
      <c r="R839" s="67"/>
    </row>
    <row r="840" spans="4:18" ht="15.75" customHeight="1">
      <c r="D840" s="94"/>
      <c r="E840" s="95"/>
      <c r="F840" s="95"/>
      <c r="G840" s="67"/>
      <c r="H840" s="67"/>
      <c r="I840" s="67"/>
      <c r="J840" s="67"/>
      <c r="K840" s="67"/>
      <c r="L840" s="67"/>
      <c r="M840" s="67"/>
      <c r="N840" s="67"/>
      <c r="O840" s="67"/>
      <c r="P840" s="67"/>
      <c r="Q840" s="67"/>
      <c r="R840" s="67"/>
    </row>
    <row r="841" spans="4:18" ht="15.75" customHeight="1">
      <c r="D841" s="94"/>
      <c r="E841" s="95"/>
      <c r="F841" s="95"/>
      <c r="G841" s="67"/>
      <c r="H841" s="67"/>
      <c r="I841" s="67"/>
      <c r="J841" s="67"/>
      <c r="K841" s="67"/>
      <c r="L841" s="67"/>
      <c r="M841" s="67"/>
      <c r="N841" s="67"/>
      <c r="O841" s="67"/>
      <c r="P841" s="67"/>
      <c r="Q841" s="67"/>
      <c r="R841" s="67"/>
    </row>
    <row r="842" spans="4:18" ht="15.75" customHeight="1">
      <c r="D842" s="94"/>
      <c r="E842" s="95"/>
      <c r="F842" s="95"/>
      <c r="G842" s="67"/>
      <c r="H842" s="67"/>
      <c r="I842" s="67"/>
      <c r="J842" s="67"/>
      <c r="K842" s="67"/>
      <c r="L842" s="67"/>
      <c r="M842" s="67"/>
      <c r="N842" s="67"/>
      <c r="O842" s="67"/>
      <c r="P842" s="67"/>
      <c r="Q842" s="67"/>
      <c r="R842" s="67"/>
    </row>
    <row r="843" spans="4:18" ht="15.75" customHeight="1">
      <c r="D843" s="94"/>
      <c r="E843" s="95"/>
      <c r="F843" s="95"/>
      <c r="G843" s="67"/>
      <c r="H843" s="67"/>
      <c r="I843" s="67"/>
      <c r="J843" s="67"/>
      <c r="K843" s="67"/>
      <c r="L843" s="67"/>
      <c r="M843" s="67"/>
      <c r="N843" s="67"/>
      <c r="O843" s="67"/>
      <c r="P843" s="67"/>
      <c r="Q843" s="67"/>
      <c r="R843" s="67"/>
    </row>
    <row r="844" spans="4:18" ht="15.75" customHeight="1">
      <c r="D844" s="94"/>
      <c r="E844" s="95"/>
      <c r="F844" s="95"/>
      <c r="G844" s="67"/>
      <c r="H844" s="67"/>
      <c r="I844" s="67"/>
      <c r="J844" s="67"/>
      <c r="K844" s="67"/>
      <c r="L844" s="67"/>
      <c r="M844" s="67"/>
      <c r="N844" s="67"/>
      <c r="O844" s="67"/>
      <c r="P844" s="67"/>
      <c r="Q844" s="67"/>
      <c r="R844" s="67"/>
    </row>
    <row r="845" spans="4:18" ht="15.75" customHeight="1">
      <c r="D845" s="94"/>
      <c r="E845" s="95"/>
      <c r="F845" s="95"/>
      <c r="G845" s="67"/>
      <c r="H845" s="67"/>
      <c r="I845" s="67"/>
      <c r="J845" s="67"/>
      <c r="K845" s="67"/>
      <c r="L845" s="67"/>
      <c r="M845" s="67"/>
      <c r="N845" s="67"/>
      <c r="O845" s="67"/>
      <c r="P845" s="67"/>
      <c r="Q845" s="67"/>
      <c r="R845" s="67"/>
    </row>
    <row r="846" spans="4:18" ht="15.75" customHeight="1">
      <c r="D846" s="94"/>
      <c r="E846" s="95"/>
      <c r="F846" s="95"/>
      <c r="G846" s="67"/>
      <c r="H846" s="67"/>
      <c r="I846" s="67"/>
      <c r="J846" s="67"/>
      <c r="K846" s="67"/>
      <c r="L846" s="67"/>
      <c r="M846" s="67"/>
      <c r="N846" s="67"/>
      <c r="O846" s="67"/>
      <c r="P846" s="67"/>
      <c r="Q846" s="67"/>
      <c r="R846" s="67"/>
    </row>
    <row r="847" spans="4:18" ht="15.75" customHeight="1">
      <c r="D847" s="94"/>
      <c r="E847" s="95"/>
      <c r="F847" s="95"/>
      <c r="G847" s="67"/>
      <c r="H847" s="67"/>
      <c r="I847" s="67"/>
      <c r="J847" s="67"/>
      <c r="K847" s="67"/>
      <c r="L847" s="67"/>
      <c r="M847" s="67"/>
      <c r="N847" s="67"/>
      <c r="O847" s="67"/>
      <c r="P847" s="67"/>
      <c r="Q847" s="67"/>
      <c r="R847" s="67"/>
    </row>
    <row r="848" spans="4:18" ht="15.75" customHeight="1">
      <c r="D848" s="94"/>
      <c r="E848" s="95"/>
      <c r="F848" s="95"/>
      <c r="G848" s="67"/>
      <c r="H848" s="67"/>
      <c r="I848" s="67"/>
      <c r="J848" s="67"/>
      <c r="K848" s="67"/>
      <c r="L848" s="67"/>
      <c r="M848" s="67"/>
      <c r="N848" s="67"/>
      <c r="O848" s="67"/>
      <c r="P848" s="67"/>
      <c r="Q848" s="67"/>
      <c r="R848" s="67"/>
    </row>
    <row r="849" spans="4:18" ht="15.75" customHeight="1">
      <c r="D849" s="94"/>
      <c r="E849" s="95"/>
      <c r="F849" s="95"/>
      <c r="G849" s="67"/>
      <c r="H849" s="67"/>
      <c r="I849" s="67"/>
      <c r="J849" s="67"/>
      <c r="K849" s="67"/>
      <c r="L849" s="67"/>
      <c r="M849" s="67"/>
      <c r="N849" s="67"/>
      <c r="O849" s="67"/>
      <c r="P849" s="67"/>
      <c r="Q849" s="67"/>
      <c r="R849" s="67"/>
    </row>
    <row r="850" spans="4:18" ht="15.75" customHeight="1">
      <c r="D850" s="94"/>
      <c r="E850" s="95"/>
      <c r="F850" s="95"/>
      <c r="G850" s="67"/>
      <c r="H850" s="67"/>
      <c r="I850" s="67"/>
      <c r="J850" s="67"/>
      <c r="K850" s="67"/>
      <c r="L850" s="67"/>
      <c r="M850" s="67"/>
      <c r="N850" s="67"/>
      <c r="O850" s="67"/>
      <c r="P850" s="67"/>
      <c r="Q850" s="67"/>
      <c r="R850" s="67"/>
    </row>
    <row r="851" spans="4:18" ht="15.75" customHeight="1">
      <c r="D851" s="94"/>
      <c r="E851" s="95"/>
      <c r="F851" s="95"/>
      <c r="G851" s="67"/>
      <c r="H851" s="67"/>
      <c r="I851" s="67"/>
      <c r="J851" s="67"/>
      <c r="K851" s="67"/>
      <c r="L851" s="67"/>
      <c r="M851" s="67"/>
      <c r="N851" s="67"/>
      <c r="O851" s="67"/>
      <c r="P851" s="67"/>
      <c r="Q851" s="67"/>
      <c r="R851" s="67"/>
    </row>
    <row r="852" spans="4:18" ht="15.75" customHeight="1">
      <c r="D852" s="94"/>
      <c r="E852" s="95"/>
      <c r="F852" s="95"/>
      <c r="G852" s="67"/>
      <c r="H852" s="67"/>
      <c r="I852" s="67"/>
      <c r="J852" s="67"/>
      <c r="K852" s="67"/>
      <c r="L852" s="67"/>
      <c r="M852" s="67"/>
      <c r="N852" s="67"/>
      <c r="O852" s="67"/>
      <c r="P852" s="67"/>
      <c r="Q852" s="67"/>
      <c r="R852" s="67"/>
    </row>
    <row r="853" spans="4:18" ht="15.75" customHeight="1">
      <c r="D853" s="94"/>
      <c r="E853" s="95"/>
      <c r="F853" s="95"/>
      <c r="G853" s="67"/>
      <c r="H853" s="67"/>
      <c r="I853" s="67"/>
      <c r="J853" s="67"/>
      <c r="K853" s="67"/>
      <c r="L853" s="67"/>
      <c r="M853" s="67"/>
      <c r="N853" s="67"/>
      <c r="O853" s="67"/>
      <c r="P853" s="67"/>
      <c r="Q853" s="67"/>
      <c r="R853" s="67"/>
    </row>
    <row r="854" spans="4:18" ht="15.75" customHeight="1">
      <c r="D854" s="94"/>
      <c r="E854" s="95"/>
      <c r="F854" s="95"/>
      <c r="G854" s="67"/>
      <c r="H854" s="67"/>
      <c r="I854" s="67"/>
      <c r="J854" s="67"/>
      <c r="K854" s="67"/>
      <c r="L854" s="67"/>
      <c r="M854" s="67"/>
      <c r="N854" s="67"/>
      <c r="O854" s="67"/>
      <c r="P854" s="67"/>
      <c r="Q854" s="67"/>
      <c r="R854" s="67"/>
    </row>
    <row r="855" spans="4:18" ht="15.75" customHeight="1">
      <c r="D855" s="94"/>
      <c r="E855" s="95"/>
      <c r="F855" s="95"/>
      <c r="G855" s="67"/>
      <c r="H855" s="67"/>
      <c r="I855" s="67"/>
      <c r="J855" s="67"/>
      <c r="K855" s="67"/>
      <c r="L855" s="67"/>
      <c r="M855" s="67"/>
      <c r="N855" s="67"/>
      <c r="O855" s="67"/>
      <c r="P855" s="67"/>
      <c r="Q855" s="67"/>
      <c r="R855" s="67"/>
    </row>
    <row r="856" spans="4:18" ht="15.75" customHeight="1">
      <c r="D856" s="94"/>
      <c r="E856" s="95"/>
      <c r="F856" s="95"/>
      <c r="G856" s="67"/>
      <c r="H856" s="67"/>
      <c r="I856" s="67"/>
      <c r="J856" s="67"/>
      <c r="K856" s="67"/>
      <c r="L856" s="67"/>
      <c r="M856" s="67"/>
      <c r="N856" s="67"/>
      <c r="O856" s="67"/>
      <c r="P856" s="67"/>
      <c r="Q856" s="67"/>
      <c r="R856" s="67"/>
    </row>
    <row r="857" spans="4:18" ht="15.75" customHeight="1">
      <c r="D857" s="94"/>
      <c r="E857" s="95"/>
      <c r="F857" s="95"/>
      <c r="G857" s="67"/>
      <c r="H857" s="67"/>
      <c r="I857" s="67"/>
      <c r="J857" s="67"/>
      <c r="K857" s="67"/>
      <c r="L857" s="67"/>
      <c r="M857" s="67"/>
      <c r="N857" s="67"/>
      <c r="O857" s="67"/>
      <c r="P857" s="67"/>
      <c r="Q857" s="67"/>
      <c r="R857" s="67"/>
    </row>
    <row r="858" spans="4:18" ht="15.75" customHeight="1">
      <c r="D858" s="94"/>
      <c r="E858" s="95"/>
      <c r="F858" s="95"/>
      <c r="G858" s="67"/>
      <c r="H858" s="67"/>
      <c r="I858" s="67"/>
      <c r="J858" s="67"/>
      <c r="K858" s="67"/>
      <c r="L858" s="67"/>
      <c r="M858" s="67"/>
      <c r="N858" s="67"/>
      <c r="O858" s="67"/>
      <c r="P858" s="67"/>
      <c r="Q858" s="67"/>
      <c r="R858" s="67"/>
    </row>
    <row r="859" spans="4:18" ht="15.75" customHeight="1">
      <c r="D859" s="94"/>
      <c r="E859" s="95"/>
      <c r="F859" s="95"/>
      <c r="G859" s="67"/>
      <c r="H859" s="67"/>
      <c r="I859" s="67"/>
      <c r="J859" s="67"/>
      <c r="K859" s="67"/>
      <c r="L859" s="67"/>
      <c r="M859" s="67"/>
      <c r="N859" s="67"/>
      <c r="O859" s="67"/>
      <c r="P859" s="67"/>
      <c r="Q859" s="67"/>
      <c r="R859" s="67"/>
    </row>
    <row r="860" spans="4:18" ht="15.75" customHeight="1">
      <c r="D860" s="94"/>
      <c r="E860" s="95"/>
      <c r="F860" s="95"/>
      <c r="G860" s="67"/>
      <c r="H860" s="67"/>
      <c r="I860" s="67"/>
      <c r="J860" s="67"/>
      <c r="K860" s="67"/>
      <c r="L860" s="67"/>
      <c r="M860" s="67"/>
      <c r="N860" s="67"/>
      <c r="O860" s="67"/>
      <c r="P860" s="67"/>
      <c r="Q860" s="67"/>
      <c r="R860" s="67"/>
    </row>
    <row r="861" spans="4:18" ht="15.75" customHeight="1">
      <c r="D861" s="94"/>
      <c r="E861" s="95"/>
      <c r="F861" s="95"/>
      <c r="G861" s="67"/>
      <c r="H861" s="67"/>
      <c r="I861" s="67"/>
      <c r="J861" s="67"/>
      <c r="K861" s="67"/>
      <c r="L861" s="67"/>
      <c r="M861" s="67"/>
      <c r="N861" s="67"/>
      <c r="O861" s="67"/>
      <c r="P861" s="67"/>
      <c r="Q861" s="67"/>
      <c r="R861" s="67"/>
    </row>
    <row r="862" spans="4:18" ht="15.75" customHeight="1">
      <c r="D862" s="94"/>
      <c r="E862" s="95"/>
      <c r="F862" s="95"/>
      <c r="G862" s="67"/>
      <c r="H862" s="67"/>
      <c r="I862" s="67"/>
      <c r="J862" s="67"/>
      <c r="K862" s="67"/>
      <c r="L862" s="67"/>
      <c r="M862" s="67"/>
      <c r="N862" s="67"/>
      <c r="O862" s="67"/>
      <c r="P862" s="67"/>
      <c r="Q862" s="67"/>
      <c r="R862" s="67"/>
    </row>
    <row r="863" spans="4:18" ht="15.75" customHeight="1">
      <c r="D863" s="94"/>
      <c r="E863" s="95"/>
      <c r="F863" s="95"/>
      <c r="G863" s="67"/>
      <c r="H863" s="67"/>
      <c r="I863" s="67"/>
      <c r="J863" s="67"/>
      <c r="K863" s="67"/>
      <c r="L863" s="67"/>
      <c r="M863" s="67"/>
      <c r="N863" s="67"/>
      <c r="O863" s="67"/>
      <c r="P863" s="67"/>
      <c r="Q863" s="67"/>
      <c r="R863" s="67"/>
    </row>
    <row r="864" spans="4:18" ht="15.75" customHeight="1">
      <c r="D864" s="94"/>
      <c r="E864" s="95"/>
      <c r="F864" s="95"/>
      <c r="G864" s="67"/>
      <c r="H864" s="67"/>
      <c r="I864" s="67"/>
      <c r="J864" s="67"/>
      <c r="K864" s="67"/>
      <c r="L864" s="67"/>
      <c r="M864" s="67"/>
      <c r="N864" s="67"/>
      <c r="O864" s="67"/>
      <c r="P864" s="67"/>
      <c r="Q864" s="67"/>
      <c r="R864" s="67"/>
    </row>
    <row r="865" spans="4:18" ht="15.75" customHeight="1">
      <c r="D865" s="94"/>
      <c r="E865" s="95"/>
      <c r="F865" s="95"/>
      <c r="G865" s="67"/>
      <c r="H865" s="67"/>
      <c r="I865" s="67"/>
      <c r="J865" s="67"/>
      <c r="K865" s="67"/>
      <c r="L865" s="67"/>
      <c r="M865" s="67"/>
      <c r="N865" s="67"/>
      <c r="O865" s="67"/>
      <c r="P865" s="67"/>
      <c r="Q865" s="67"/>
      <c r="R865" s="67"/>
    </row>
    <row r="866" spans="4:18" ht="15.75" customHeight="1">
      <c r="D866" s="94"/>
      <c r="E866" s="95"/>
      <c r="F866" s="95"/>
      <c r="G866" s="67"/>
      <c r="H866" s="67"/>
      <c r="I866" s="67"/>
      <c r="J866" s="67"/>
      <c r="K866" s="67"/>
      <c r="L866" s="67"/>
      <c r="M866" s="67"/>
      <c r="N866" s="67"/>
      <c r="O866" s="67"/>
      <c r="P866" s="67"/>
      <c r="Q866" s="67"/>
      <c r="R866" s="67"/>
    </row>
    <row r="867" spans="4:18" ht="15.75" customHeight="1">
      <c r="D867" s="94"/>
      <c r="E867" s="95"/>
      <c r="F867" s="95"/>
      <c r="G867" s="67"/>
      <c r="H867" s="67"/>
      <c r="I867" s="67"/>
      <c r="J867" s="67"/>
      <c r="K867" s="67"/>
      <c r="L867" s="67"/>
      <c r="M867" s="67"/>
      <c r="N867" s="67"/>
      <c r="O867" s="67"/>
      <c r="P867" s="67"/>
      <c r="Q867" s="67"/>
      <c r="R867" s="67"/>
    </row>
    <row r="868" spans="4:18" ht="15.75" customHeight="1">
      <c r="D868" s="94"/>
      <c r="E868" s="95"/>
      <c r="F868" s="95"/>
      <c r="G868" s="67"/>
      <c r="H868" s="67"/>
      <c r="I868" s="67"/>
      <c r="J868" s="67"/>
      <c r="K868" s="67"/>
      <c r="L868" s="67"/>
      <c r="M868" s="67"/>
      <c r="N868" s="67"/>
      <c r="O868" s="67"/>
      <c r="P868" s="67"/>
      <c r="Q868" s="67"/>
      <c r="R868" s="67"/>
    </row>
    <row r="869" spans="4:18" ht="15.75" customHeight="1">
      <c r="D869" s="94"/>
      <c r="E869" s="95"/>
      <c r="F869" s="95"/>
      <c r="G869" s="67"/>
      <c r="H869" s="67"/>
      <c r="I869" s="67"/>
      <c r="J869" s="67"/>
      <c r="K869" s="67"/>
      <c r="L869" s="67"/>
      <c r="M869" s="67"/>
      <c r="N869" s="67"/>
      <c r="O869" s="67"/>
      <c r="P869" s="67"/>
      <c r="Q869" s="67"/>
      <c r="R869" s="67"/>
    </row>
    <row r="870" spans="4:18" ht="15.75" customHeight="1">
      <c r="D870" s="94"/>
      <c r="E870" s="95"/>
      <c r="F870" s="95"/>
      <c r="G870" s="67"/>
      <c r="H870" s="67"/>
      <c r="I870" s="67"/>
      <c r="J870" s="67"/>
      <c r="K870" s="67"/>
      <c r="L870" s="67"/>
      <c r="M870" s="67"/>
      <c r="N870" s="67"/>
      <c r="O870" s="67"/>
      <c r="P870" s="67"/>
      <c r="Q870" s="67"/>
      <c r="R870" s="67"/>
    </row>
    <row r="871" spans="4:18" ht="15.75" customHeight="1">
      <c r="D871" s="94"/>
      <c r="E871" s="95"/>
      <c r="F871" s="95"/>
      <c r="G871" s="67"/>
      <c r="H871" s="67"/>
      <c r="I871" s="67"/>
      <c r="J871" s="67"/>
      <c r="K871" s="67"/>
      <c r="L871" s="67"/>
      <c r="M871" s="67"/>
      <c r="N871" s="67"/>
      <c r="O871" s="67"/>
      <c r="P871" s="67"/>
      <c r="Q871" s="67"/>
      <c r="R871" s="67"/>
    </row>
    <row r="872" spans="4:18" ht="15.75" customHeight="1">
      <c r="D872" s="94"/>
      <c r="E872" s="95"/>
      <c r="F872" s="95"/>
      <c r="G872" s="67"/>
      <c r="H872" s="67"/>
      <c r="I872" s="67"/>
      <c r="J872" s="67"/>
      <c r="K872" s="67"/>
      <c r="L872" s="67"/>
      <c r="M872" s="67"/>
      <c r="N872" s="67"/>
      <c r="O872" s="67"/>
      <c r="P872" s="67"/>
      <c r="Q872" s="67"/>
      <c r="R872" s="67"/>
    </row>
    <row r="873" spans="4:18" ht="15.75" customHeight="1">
      <c r="D873" s="94"/>
      <c r="E873" s="95"/>
      <c r="F873" s="95"/>
      <c r="G873" s="67"/>
      <c r="H873" s="67"/>
      <c r="I873" s="67"/>
      <c r="J873" s="67"/>
      <c r="K873" s="67"/>
      <c r="L873" s="67"/>
      <c r="M873" s="67"/>
      <c r="N873" s="67"/>
      <c r="O873" s="67"/>
      <c r="P873" s="67"/>
      <c r="Q873" s="67"/>
      <c r="R873" s="67"/>
    </row>
    <row r="874" spans="4:18" ht="15.75" customHeight="1">
      <c r="D874" s="94"/>
      <c r="E874" s="95"/>
      <c r="F874" s="95"/>
      <c r="G874" s="67"/>
      <c r="H874" s="67"/>
      <c r="I874" s="67"/>
      <c r="J874" s="67"/>
      <c r="K874" s="67"/>
      <c r="L874" s="67"/>
      <c r="M874" s="67"/>
      <c r="N874" s="67"/>
      <c r="O874" s="67"/>
      <c r="P874" s="67"/>
      <c r="Q874" s="67"/>
      <c r="R874" s="67"/>
    </row>
    <row r="875" spans="4:18" ht="15.75" customHeight="1">
      <c r="D875" s="94"/>
      <c r="E875" s="95"/>
      <c r="F875" s="95"/>
      <c r="G875" s="67"/>
      <c r="H875" s="67"/>
      <c r="I875" s="67"/>
      <c r="J875" s="67"/>
      <c r="K875" s="67"/>
      <c r="L875" s="67"/>
      <c r="M875" s="67"/>
      <c r="N875" s="67"/>
      <c r="O875" s="67"/>
      <c r="P875" s="67"/>
      <c r="Q875" s="67"/>
      <c r="R875" s="67"/>
    </row>
    <row r="876" spans="4:18" ht="15.75" customHeight="1">
      <c r="D876" s="94"/>
      <c r="E876" s="95"/>
      <c r="F876" s="95"/>
      <c r="G876" s="67"/>
      <c r="H876" s="67"/>
      <c r="I876" s="67"/>
      <c r="J876" s="67"/>
      <c r="K876" s="67"/>
      <c r="L876" s="67"/>
      <c r="M876" s="67"/>
      <c r="N876" s="67"/>
      <c r="O876" s="67"/>
      <c r="P876" s="67"/>
      <c r="Q876" s="67"/>
      <c r="R876" s="67"/>
    </row>
    <row r="877" spans="4:18" ht="15.75" customHeight="1">
      <c r="D877" s="94"/>
      <c r="E877" s="95"/>
      <c r="F877" s="95"/>
      <c r="G877" s="67"/>
      <c r="H877" s="67"/>
      <c r="I877" s="67"/>
      <c r="J877" s="67"/>
      <c r="K877" s="67"/>
      <c r="L877" s="67"/>
      <c r="M877" s="67"/>
      <c r="N877" s="67"/>
      <c r="O877" s="67"/>
      <c r="P877" s="67"/>
      <c r="Q877" s="67"/>
      <c r="R877" s="67"/>
    </row>
    <row r="878" spans="4:18" ht="15.75" customHeight="1">
      <c r="D878" s="94"/>
      <c r="E878" s="95"/>
      <c r="F878" s="95"/>
      <c r="G878" s="67"/>
      <c r="H878" s="67"/>
      <c r="I878" s="67"/>
      <c r="J878" s="67"/>
      <c r="K878" s="67"/>
      <c r="L878" s="67"/>
      <c r="M878" s="67"/>
      <c r="N878" s="67"/>
      <c r="O878" s="67"/>
      <c r="P878" s="67"/>
      <c r="Q878" s="67"/>
      <c r="R878" s="67"/>
    </row>
    <row r="879" spans="4:18" ht="15.75" customHeight="1">
      <c r="D879" s="94"/>
      <c r="E879" s="95"/>
      <c r="F879" s="95"/>
      <c r="G879" s="67"/>
      <c r="H879" s="67"/>
      <c r="I879" s="67"/>
      <c r="J879" s="67"/>
      <c r="K879" s="67"/>
      <c r="L879" s="67"/>
      <c r="M879" s="67"/>
      <c r="N879" s="67"/>
      <c r="O879" s="67"/>
      <c r="P879" s="67"/>
      <c r="Q879" s="67"/>
      <c r="R879" s="67"/>
    </row>
    <row r="880" spans="4:18" ht="15.75" customHeight="1">
      <c r="D880" s="94"/>
      <c r="E880" s="95"/>
      <c r="F880" s="95"/>
      <c r="G880" s="67"/>
      <c r="H880" s="67"/>
      <c r="I880" s="67"/>
      <c r="J880" s="67"/>
      <c r="K880" s="67"/>
      <c r="L880" s="67"/>
      <c r="M880" s="67"/>
      <c r="N880" s="67"/>
      <c r="O880" s="67"/>
      <c r="P880" s="67"/>
      <c r="Q880" s="67"/>
      <c r="R880" s="67"/>
    </row>
    <row r="881" spans="4:18" ht="15.75" customHeight="1">
      <c r="D881" s="94"/>
      <c r="E881" s="95"/>
      <c r="F881" s="95"/>
      <c r="G881" s="67"/>
      <c r="H881" s="67"/>
      <c r="I881" s="67"/>
      <c r="J881" s="67"/>
      <c r="K881" s="67"/>
      <c r="L881" s="67"/>
      <c r="M881" s="67"/>
      <c r="N881" s="67"/>
      <c r="O881" s="67"/>
      <c r="P881" s="67"/>
      <c r="Q881" s="67"/>
      <c r="R881" s="67"/>
    </row>
    <row r="882" spans="4:18" ht="15.75" customHeight="1">
      <c r="D882" s="94"/>
      <c r="E882" s="95"/>
      <c r="F882" s="95"/>
      <c r="G882" s="67"/>
      <c r="H882" s="67"/>
      <c r="I882" s="67"/>
      <c r="J882" s="67"/>
      <c r="K882" s="67"/>
      <c r="L882" s="67"/>
      <c r="M882" s="67"/>
      <c r="N882" s="67"/>
      <c r="O882" s="67"/>
      <c r="P882" s="67"/>
      <c r="Q882" s="67"/>
      <c r="R882" s="67"/>
    </row>
    <row r="883" spans="4:18" ht="15.75" customHeight="1">
      <c r="D883" s="94"/>
      <c r="E883" s="95"/>
      <c r="F883" s="95"/>
      <c r="G883" s="67"/>
      <c r="H883" s="67"/>
      <c r="I883" s="67"/>
      <c r="J883" s="67"/>
      <c r="K883" s="67"/>
      <c r="L883" s="67"/>
      <c r="M883" s="67"/>
      <c r="N883" s="67"/>
      <c r="O883" s="67"/>
      <c r="P883" s="67"/>
      <c r="Q883" s="67"/>
      <c r="R883" s="67"/>
    </row>
    <row r="884" spans="4:18" ht="15.75" customHeight="1">
      <c r="D884" s="94"/>
      <c r="E884" s="95"/>
      <c r="F884" s="95"/>
      <c r="G884" s="67"/>
      <c r="H884" s="67"/>
      <c r="I884" s="67"/>
      <c r="J884" s="67"/>
      <c r="K884" s="67"/>
      <c r="L884" s="67"/>
      <c r="M884" s="67"/>
      <c r="N884" s="67"/>
      <c r="O884" s="67"/>
      <c r="P884" s="67"/>
      <c r="Q884" s="67"/>
      <c r="R884" s="67"/>
    </row>
    <row r="885" spans="4:18" ht="15.75" customHeight="1">
      <c r="D885" s="94"/>
      <c r="E885" s="95"/>
      <c r="F885" s="95"/>
      <c r="G885" s="67"/>
      <c r="H885" s="67"/>
      <c r="I885" s="67"/>
      <c r="J885" s="67"/>
      <c r="K885" s="67"/>
      <c r="L885" s="67"/>
      <c r="M885" s="67"/>
      <c r="N885" s="67"/>
      <c r="O885" s="67"/>
      <c r="P885" s="67"/>
      <c r="Q885" s="67"/>
      <c r="R885" s="67"/>
    </row>
    <row r="886" spans="4:18" ht="15.75" customHeight="1">
      <c r="D886" s="94"/>
      <c r="E886" s="95"/>
      <c r="F886" s="95"/>
      <c r="G886" s="67"/>
      <c r="H886" s="67"/>
      <c r="I886" s="67"/>
      <c r="J886" s="67"/>
      <c r="K886" s="67"/>
      <c r="L886" s="67"/>
      <c r="M886" s="67"/>
      <c r="N886" s="67"/>
      <c r="O886" s="67"/>
      <c r="P886" s="67"/>
      <c r="Q886" s="67"/>
      <c r="R886" s="67"/>
    </row>
    <row r="887" spans="4:18" ht="15.75" customHeight="1">
      <c r="D887" s="94"/>
      <c r="E887" s="95"/>
      <c r="F887" s="95"/>
      <c r="G887" s="67"/>
      <c r="H887" s="67"/>
      <c r="I887" s="67"/>
      <c r="J887" s="67"/>
      <c r="K887" s="67"/>
      <c r="L887" s="67"/>
      <c r="M887" s="67"/>
      <c r="N887" s="67"/>
      <c r="O887" s="67"/>
      <c r="P887" s="67"/>
      <c r="Q887" s="67"/>
      <c r="R887" s="67"/>
    </row>
    <row r="888" spans="4:18" ht="15.75" customHeight="1">
      <c r="D888" s="94"/>
      <c r="E888" s="95"/>
      <c r="F888" s="95"/>
      <c r="G888" s="67"/>
      <c r="H888" s="67"/>
      <c r="I888" s="67"/>
      <c r="J888" s="67"/>
      <c r="K888" s="67"/>
      <c r="L888" s="67"/>
      <c r="M888" s="67"/>
      <c r="N888" s="67"/>
      <c r="O888" s="67"/>
      <c r="P888" s="67"/>
      <c r="Q888" s="67"/>
      <c r="R888" s="67"/>
    </row>
    <row r="889" spans="4:18" ht="15.75" customHeight="1">
      <c r="D889" s="94"/>
      <c r="E889" s="95"/>
      <c r="F889" s="95"/>
      <c r="G889" s="67"/>
      <c r="H889" s="67"/>
      <c r="I889" s="67"/>
      <c r="J889" s="67"/>
      <c r="K889" s="67"/>
      <c r="L889" s="67"/>
      <c r="M889" s="67"/>
      <c r="N889" s="67"/>
      <c r="O889" s="67"/>
      <c r="P889" s="67"/>
      <c r="Q889" s="67"/>
      <c r="R889" s="67"/>
    </row>
    <row r="890" spans="4:18" ht="15.75" customHeight="1">
      <c r="D890" s="94"/>
      <c r="E890" s="95"/>
      <c r="F890" s="95"/>
      <c r="G890" s="67"/>
      <c r="H890" s="67"/>
      <c r="I890" s="67"/>
      <c r="J890" s="67"/>
      <c r="K890" s="67"/>
      <c r="L890" s="67"/>
      <c r="M890" s="67"/>
      <c r="N890" s="67"/>
      <c r="O890" s="67"/>
      <c r="P890" s="67"/>
      <c r="Q890" s="67"/>
      <c r="R890" s="67"/>
    </row>
    <row r="891" spans="4:18" ht="15.75" customHeight="1">
      <c r="D891" s="94"/>
      <c r="E891" s="95"/>
      <c r="F891" s="95"/>
      <c r="G891" s="67"/>
      <c r="H891" s="67"/>
      <c r="I891" s="67"/>
      <c r="J891" s="67"/>
      <c r="K891" s="67"/>
      <c r="L891" s="67"/>
      <c r="M891" s="67"/>
      <c r="N891" s="67"/>
      <c r="O891" s="67"/>
      <c r="P891" s="67"/>
      <c r="Q891" s="67"/>
      <c r="R891" s="67"/>
    </row>
    <row r="892" spans="4:18" ht="15.75" customHeight="1">
      <c r="D892" s="94"/>
      <c r="E892" s="95"/>
      <c r="F892" s="95"/>
      <c r="G892" s="67"/>
      <c r="H892" s="67"/>
      <c r="I892" s="67"/>
      <c r="J892" s="67"/>
      <c r="K892" s="67"/>
      <c r="L892" s="67"/>
      <c r="M892" s="67"/>
      <c r="N892" s="67"/>
      <c r="O892" s="67"/>
      <c r="P892" s="67"/>
      <c r="Q892" s="67"/>
      <c r="R892" s="67"/>
    </row>
    <row r="893" spans="4:18" ht="15.75" customHeight="1">
      <c r="D893" s="94"/>
      <c r="E893" s="95"/>
      <c r="F893" s="95"/>
      <c r="G893" s="67"/>
      <c r="H893" s="67"/>
      <c r="I893" s="67"/>
      <c r="J893" s="67"/>
      <c r="K893" s="67"/>
      <c r="L893" s="67"/>
      <c r="M893" s="67"/>
      <c r="N893" s="67"/>
      <c r="O893" s="67"/>
      <c r="P893" s="67"/>
      <c r="Q893" s="67"/>
      <c r="R893" s="67"/>
    </row>
    <row r="894" spans="4:18" ht="15.75" customHeight="1">
      <c r="D894" s="94"/>
      <c r="E894" s="95"/>
      <c r="F894" s="95"/>
      <c r="G894" s="67"/>
      <c r="H894" s="67"/>
      <c r="I894" s="67"/>
      <c r="J894" s="67"/>
      <c r="K894" s="67"/>
      <c r="L894" s="67"/>
      <c r="M894" s="67"/>
      <c r="N894" s="67"/>
      <c r="O894" s="67"/>
      <c r="P894" s="67"/>
      <c r="Q894" s="67"/>
      <c r="R894" s="67"/>
    </row>
    <row r="895" spans="4:18" ht="15.75" customHeight="1">
      <c r="D895" s="94"/>
      <c r="E895" s="95"/>
      <c r="F895" s="95"/>
      <c r="G895" s="67"/>
      <c r="H895" s="67"/>
      <c r="I895" s="67"/>
      <c r="J895" s="67"/>
      <c r="K895" s="67"/>
      <c r="L895" s="67"/>
      <c r="M895" s="67"/>
      <c r="N895" s="67"/>
      <c r="O895" s="67"/>
      <c r="P895" s="67"/>
      <c r="Q895" s="67"/>
      <c r="R895" s="67"/>
    </row>
    <row r="896" spans="4:18" ht="15.75" customHeight="1">
      <c r="D896" s="94"/>
      <c r="E896" s="95"/>
      <c r="F896" s="95"/>
      <c r="G896" s="67"/>
      <c r="H896" s="67"/>
      <c r="I896" s="67"/>
      <c r="J896" s="67"/>
      <c r="K896" s="67"/>
      <c r="L896" s="67"/>
      <c r="M896" s="67"/>
      <c r="N896" s="67"/>
      <c r="O896" s="67"/>
      <c r="P896" s="67"/>
      <c r="Q896" s="67"/>
      <c r="R896" s="67"/>
    </row>
    <row r="897" spans="4:18" ht="15.75" customHeight="1">
      <c r="D897" s="94"/>
      <c r="E897" s="95"/>
      <c r="F897" s="95"/>
      <c r="G897" s="67"/>
      <c r="H897" s="67"/>
      <c r="I897" s="67"/>
      <c r="J897" s="67"/>
      <c r="K897" s="67"/>
      <c r="L897" s="67"/>
      <c r="M897" s="67"/>
      <c r="N897" s="67"/>
      <c r="O897" s="67"/>
      <c r="P897" s="67"/>
      <c r="Q897" s="67"/>
      <c r="R897" s="67"/>
    </row>
    <row r="898" spans="4:18" ht="15.75" customHeight="1">
      <c r="D898" s="94"/>
      <c r="E898" s="95"/>
      <c r="F898" s="95"/>
      <c r="G898" s="67"/>
      <c r="H898" s="67"/>
      <c r="I898" s="67"/>
      <c r="J898" s="67"/>
      <c r="K898" s="67"/>
      <c r="L898" s="67"/>
      <c r="M898" s="67"/>
      <c r="N898" s="67"/>
      <c r="O898" s="67"/>
      <c r="P898" s="67"/>
      <c r="Q898" s="67"/>
      <c r="R898" s="67"/>
    </row>
    <row r="899" spans="4:18" ht="15.75" customHeight="1">
      <c r="D899" s="94"/>
      <c r="E899" s="95"/>
      <c r="F899" s="95"/>
      <c r="G899" s="67"/>
      <c r="H899" s="67"/>
      <c r="I899" s="67"/>
      <c r="J899" s="67"/>
      <c r="K899" s="67"/>
      <c r="L899" s="67"/>
      <c r="M899" s="67"/>
      <c r="N899" s="67"/>
      <c r="O899" s="67"/>
      <c r="P899" s="67"/>
      <c r="Q899" s="67"/>
      <c r="R899" s="67"/>
    </row>
    <row r="900" spans="4:18" ht="15.75" customHeight="1">
      <c r="D900" s="94"/>
      <c r="E900" s="95"/>
      <c r="F900" s="95"/>
      <c r="G900" s="67"/>
      <c r="H900" s="67"/>
      <c r="I900" s="67"/>
      <c r="J900" s="67"/>
      <c r="K900" s="67"/>
      <c r="L900" s="67"/>
      <c r="M900" s="67"/>
      <c r="N900" s="67"/>
      <c r="O900" s="67"/>
      <c r="P900" s="67"/>
      <c r="Q900" s="67"/>
      <c r="R900" s="67"/>
    </row>
    <row r="901" spans="4:18" ht="15.75" customHeight="1">
      <c r="D901" s="94"/>
      <c r="E901" s="95"/>
      <c r="F901" s="95"/>
      <c r="G901" s="67"/>
      <c r="H901" s="67"/>
      <c r="I901" s="67"/>
      <c r="J901" s="67"/>
      <c r="K901" s="67"/>
      <c r="L901" s="67"/>
      <c r="M901" s="67"/>
      <c r="N901" s="67"/>
      <c r="O901" s="67"/>
      <c r="P901" s="67"/>
      <c r="Q901" s="67"/>
      <c r="R901" s="67"/>
    </row>
    <row r="902" spans="4:18" ht="15.75" customHeight="1">
      <c r="D902" s="94"/>
      <c r="E902" s="95"/>
      <c r="F902" s="95"/>
      <c r="G902" s="67"/>
      <c r="H902" s="67"/>
      <c r="I902" s="67"/>
      <c r="J902" s="67"/>
      <c r="K902" s="67"/>
      <c r="L902" s="67"/>
      <c r="M902" s="67"/>
      <c r="N902" s="67"/>
      <c r="O902" s="67"/>
      <c r="P902" s="67"/>
      <c r="Q902" s="67"/>
      <c r="R902" s="67"/>
    </row>
    <row r="903" spans="4:18" ht="15.75" customHeight="1">
      <c r="D903" s="94"/>
      <c r="E903" s="95"/>
      <c r="F903" s="95"/>
      <c r="G903" s="67"/>
      <c r="H903" s="67"/>
      <c r="I903" s="67"/>
      <c r="J903" s="67"/>
      <c r="K903" s="67"/>
      <c r="L903" s="67"/>
      <c r="M903" s="67"/>
      <c r="N903" s="67"/>
      <c r="O903" s="67"/>
      <c r="P903" s="67"/>
      <c r="Q903" s="67"/>
      <c r="R903" s="67"/>
    </row>
    <row r="904" spans="4:18" ht="15.75" customHeight="1">
      <c r="D904" s="94"/>
      <c r="E904" s="95"/>
      <c r="F904" s="95"/>
      <c r="G904" s="67"/>
      <c r="H904" s="67"/>
      <c r="I904" s="67"/>
      <c r="J904" s="67"/>
      <c r="K904" s="67"/>
      <c r="L904" s="67"/>
      <c r="M904" s="67"/>
      <c r="N904" s="67"/>
      <c r="O904" s="67"/>
      <c r="P904" s="67"/>
      <c r="Q904" s="67"/>
      <c r="R904" s="67"/>
    </row>
    <row r="905" spans="4:18" ht="15.75" customHeight="1">
      <c r="D905" s="94"/>
      <c r="E905" s="95"/>
      <c r="F905" s="95"/>
      <c r="G905" s="67"/>
      <c r="H905" s="67"/>
      <c r="I905" s="67"/>
      <c r="J905" s="67"/>
      <c r="K905" s="67"/>
      <c r="L905" s="67"/>
      <c r="M905" s="67"/>
      <c r="N905" s="67"/>
      <c r="O905" s="67"/>
      <c r="P905" s="67"/>
      <c r="Q905" s="67"/>
      <c r="R905" s="67"/>
    </row>
    <row r="906" spans="4:18" ht="15.75" customHeight="1">
      <c r="D906" s="94"/>
      <c r="E906" s="95"/>
      <c r="F906" s="95"/>
      <c r="G906" s="67"/>
      <c r="H906" s="67"/>
      <c r="I906" s="67"/>
      <c r="J906" s="67"/>
      <c r="K906" s="67"/>
      <c r="L906" s="67"/>
      <c r="M906" s="67"/>
      <c r="N906" s="67"/>
      <c r="O906" s="67"/>
      <c r="P906" s="67"/>
      <c r="Q906" s="67"/>
      <c r="R906" s="67"/>
    </row>
    <row r="907" spans="4:18" ht="15.75" customHeight="1">
      <c r="D907" s="94"/>
      <c r="E907" s="95"/>
      <c r="F907" s="95"/>
      <c r="G907" s="67"/>
      <c r="H907" s="67"/>
      <c r="I907" s="67"/>
      <c r="J907" s="67"/>
      <c r="K907" s="67"/>
      <c r="L907" s="67"/>
      <c r="M907" s="67"/>
      <c r="N907" s="67"/>
      <c r="O907" s="67"/>
      <c r="P907" s="67"/>
      <c r="Q907" s="67"/>
      <c r="R907" s="67"/>
    </row>
    <row r="908" spans="4:18" ht="15.75" customHeight="1">
      <c r="D908" s="94"/>
      <c r="E908" s="95"/>
      <c r="F908" s="95"/>
      <c r="G908" s="67"/>
      <c r="H908" s="67"/>
      <c r="I908" s="67"/>
      <c r="J908" s="67"/>
      <c r="K908" s="67"/>
      <c r="L908" s="67"/>
      <c r="M908" s="67"/>
      <c r="N908" s="67"/>
      <c r="O908" s="67"/>
      <c r="P908" s="67"/>
      <c r="Q908" s="67"/>
      <c r="R908" s="67"/>
    </row>
    <row r="909" spans="4:18" ht="15.75" customHeight="1">
      <c r="D909" s="94"/>
      <c r="E909" s="95"/>
      <c r="F909" s="95"/>
      <c r="G909" s="67"/>
      <c r="H909" s="67"/>
      <c r="I909" s="67"/>
      <c r="J909" s="67"/>
      <c r="K909" s="67"/>
      <c r="L909" s="67"/>
      <c r="M909" s="67"/>
      <c r="N909" s="67"/>
      <c r="O909" s="67"/>
      <c r="P909" s="67"/>
      <c r="Q909" s="67"/>
      <c r="R909" s="67"/>
    </row>
    <row r="910" spans="4:18" ht="15.75" customHeight="1">
      <c r="D910" s="94"/>
      <c r="E910" s="95"/>
      <c r="F910" s="95"/>
      <c r="G910" s="67"/>
      <c r="H910" s="67"/>
      <c r="I910" s="67"/>
      <c r="J910" s="67"/>
      <c r="K910" s="67"/>
      <c r="L910" s="67"/>
      <c r="M910" s="67"/>
      <c r="N910" s="67"/>
      <c r="O910" s="67"/>
      <c r="P910" s="67"/>
      <c r="Q910" s="67"/>
      <c r="R910" s="67"/>
    </row>
    <row r="911" spans="4:18" ht="15.75" customHeight="1">
      <c r="D911" s="94"/>
      <c r="E911" s="95"/>
      <c r="F911" s="95"/>
      <c r="G911" s="67"/>
      <c r="H911" s="67"/>
      <c r="I911" s="67"/>
      <c r="J911" s="67"/>
      <c r="K911" s="67"/>
      <c r="L911" s="67"/>
      <c r="M911" s="67"/>
      <c r="N911" s="67"/>
      <c r="O911" s="67"/>
      <c r="P911" s="67"/>
      <c r="Q911" s="67"/>
      <c r="R911" s="67"/>
    </row>
    <row r="912" spans="4:18" ht="15.75" customHeight="1">
      <c r="D912" s="94"/>
      <c r="E912" s="95"/>
      <c r="F912" s="95"/>
      <c r="G912" s="67"/>
      <c r="H912" s="67"/>
      <c r="I912" s="67"/>
      <c r="J912" s="67"/>
      <c r="K912" s="67"/>
      <c r="L912" s="67"/>
      <c r="M912" s="67"/>
      <c r="N912" s="67"/>
      <c r="O912" s="67"/>
      <c r="P912" s="67"/>
      <c r="Q912" s="67"/>
      <c r="R912" s="67"/>
    </row>
    <row r="913" spans="4:18" ht="15.75" customHeight="1">
      <c r="D913" s="94"/>
      <c r="E913" s="95"/>
      <c r="F913" s="95"/>
      <c r="G913" s="67"/>
      <c r="H913" s="67"/>
      <c r="I913" s="67"/>
      <c r="J913" s="67"/>
      <c r="K913" s="67"/>
      <c r="L913" s="67"/>
      <c r="M913" s="67"/>
      <c r="N913" s="67"/>
      <c r="O913" s="67"/>
      <c r="P913" s="67"/>
      <c r="Q913" s="67"/>
      <c r="R913" s="67"/>
    </row>
    <row r="914" spans="4:18" ht="15.75" customHeight="1">
      <c r="D914" s="94"/>
      <c r="E914" s="95"/>
      <c r="F914" s="95"/>
      <c r="G914" s="67"/>
      <c r="H914" s="67"/>
      <c r="I914" s="67"/>
      <c r="J914" s="67"/>
      <c r="K914" s="67"/>
      <c r="L914" s="67"/>
      <c r="M914" s="67"/>
      <c r="N914" s="67"/>
      <c r="O914" s="67"/>
      <c r="P914" s="67"/>
      <c r="Q914" s="67"/>
      <c r="R914" s="67"/>
    </row>
    <row r="915" spans="4:18" ht="15.75" customHeight="1">
      <c r="D915" s="94"/>
      <c r="E915" s="95"/>
      <c r="F915" s="95"/>
      <c r="G915" s="67"/>
      <c r="H915" s="67"/>
      <c r="I915" s="67"/>
      <c r="J915" s="67"/>
      <c r="K915" s="67"/>
      <c r="L915" s="67"/>
      <c r="M915" s="67"/>
      <c r="N915" s="67"/>
      <c r="O915" s="67"/>
      <c r="P915" s="67"/>
      <c r="Q915" s="67"/>
      <c r="R915" s="67"/>
    </row>
    <row r="916" spans="4:18" ht="15.75" customHeight="1">
      <c r="D916" s="94"/>
      <c r="E916" s="95"/>
      <c r="F916" s="95"/>
      <c r="G916" s="67"/>
      <c r="H916" s="67"/>
      <c r="I916" s="67"/>
      <c r="J916" s="67"/>
      <c r="K916" s="67"/>
      <c r="L916" s="67"/>
      <c r="M916" s="67"/>
      <c r="N916" s="67"/>
      <c r="O916" s="67"/>
      <c r="P916" s="67"/>
      <c r="Q916" s="67"/>
      <c r="R916" s="67"/>
    </row>
    <row r="917" spans="4:18" ht="15.75" customHeight="1">
      <c r="D917" s="94"/>
      <c r="E917" s="95"/>
      <c r="F917" s="95"/>
      <c r="G917" s="67"/>
      <c r="H917" s="67"/>
      <c r="I917" s="67"/>
      <c r="J917" s="67"/>
      <c r="K917" s="67"/>
      <c r="L917" s="67"/>
      <c r="M917" s="67"/>
      <c r="N917" s="67"/>
      <c r="O917" s="67"/>
      <c r="P917" s="67"/>
      <c r="Q917" s="67"/>
      <c r="R917" s="67"/>
    </row>
    <row r="918" spans="4:18" ht="15.75" customHeight="1">
      <c r="D918" s="94"/>
      <c r="E918" s="95"/>
      <c r="F918" s="95"/>
      <c r="G918" s="67"/>
      <c r="H918" s="67"/>
      <c r="I918" s="67"/>
      <c r="J918" s="67"/>
      <c r="K918" s="67"/>
      <c r="L918" s="67"/>
      <c r="M918" s="67"/>
      <c r="N918" s="67"/>
      <c r="O918" s="67"/>
      <c r="P918" s="67"/>
      <c r="Q918" s="67"/>
      <c r="R918" s="67"/>
    </row>
    <row r="919" spans="4:18" ht="15.75" customHeight="1">
      <c r="D919" s="94"/>
      <c r="E919" s="95"/>
      <c r="F919" s="95"/>
      <c r="G919" s="67"/>
      <c r="H919" s="67"/>
      <c r="I919" s="67"/>
      <c r="J919" s="67"/>
      <c r="K919" s="67"/>
      <c r="L919" s="67"/>
      <c r="M919" s="67"/>
      <c r="N919" s="67"/>
      <c r="O919" s="67"/>
      <c r="P919" s="67"/>
      <c r="Q919" s="67"/>
      <c r="R919" s="67"/>
    </row>
    <row r="920" spans="4:18" ht="15.75" customHeight="1">
      <c r="D920" s="94"/>
      <c r="E920" s="95"/>
      <c r="F920" s="95"/>
      <c r="G920" s="67"/>
      <c r="H920" s="67"/>
      <c r="I920" s="67"/>
      <c r="J920" s="67"/>
      <c r="K920" s="67"/>
      <c r="L920" s="67"/>
      <c r="M920" s="67"/>
      <c r="N920" s="67"/>
      <c r="O920" s="67"/>
      <c r="P920" s="67"/>
      <c r="Q920" s="67"/>
      <c r="R920" s="67"/>
    </row>
    <row r="921" spans="4:18" ht="15.75" customHeight="1">
      <c r="D921" s="94"/>
      <c r="E921" s="95"/>
      <c r="F921" s="95"/>
      <c r="G921" s="67"/>
      <c r="H921" s="67"/>
      <c r="I921" s="67"/>
      <c r="J921" s="67"/>
      <c r="K921" s="67"/>
      <c r="L921" s="67"/>
      <c r="M921" s="67"/>
      <c r="N921" s="67"/>
      <c r="O921" s="67"/>
      <c r="P921" s="67"/>
      <c r="Q921" s="67"/>
      <c r="R921" s="67"/>
    </row>
    <row r="922" spans="4:18" ht="15.75" customHeight="1">
      <c r="D922" s="94"/>
      <c r="E922" s="95"/>
      <c r="F922" s="95"/>
      <c r="G922" s="67"/>
      <c r="H922" s="67"/>
      <c r="I922" s="67"/>
      <c r="J922" s="67"/>
      <c r="K922" s="67"/>
      <c r="L922" s="67"/>
      <c r="M922" s="67"/>
      <c r="N922" s="67"/>
      <c r="O922" s="67"/>
      <c r="P922" s="67"/>
      <c r="Q922" s="67"/>
      <c r="R922" s="67"/>
    </row>
    <row r="923" spans="4:18" ht="15.75" customHeight="1">
      <c r="D923" s="94"/>
      <c r="E923" s="95"/>
      <c r="F923" s="95"/>
      <c r="G923" s="67"/>
      <c r="H923" s="67"/>
      <c r="I923" s="67"/>
      <c r="J923" s="67"/>
      <c r="K923" s="67"/>
      <c r="L923" s="67"/>
      <c r="M923" s="67"/>
      <c r="N923" s="67"/>
      <c r="O923" s="67"/>
      <c r="P923" s="67"/>
      <c r="Q923" s="67"/>
      <c r="R923" s="67"/>
    </row>
    <row r="924" spans="4:18" ht="15.75" customHeight="1">
      <c r="D924" s="94"/>
      <c r="E924" s="95"/>
      <c r="F924" s="95"/>
      <c r="G924" s="67"/>
      <c r="H924" s="67"/>
      <c r="I924" s="67"/>
      <c r="J924" s="67"/>
      <c r="K924" s="67"/>
      <c r="L924" s="67"/>
      <c r="M924" s="67"/>
      <c r="N924" s="67"/>
      <c r="O924" s="67"/>
      <c r="P924" s="67"/>
      <c r="Q924" s="67"/>
      <c r="R924" s="67"/>
    </row>
    <row r="925" spans="4:18" ht="15.75" customHeight="1">
      <c r="D925" s="94"/>
      <c r="E925" s="95"/>
      <c r="F925" s="95"/>
      <c r="G925" s="67"/>
      <c r="H925" s="67"/>
      <c r="I925" s="67"/>
      <c r="J925" s="67"/>
      <c r="K925" s="67"/>
      <c r="L925" s="67"/>
      <c r="M925" s="67"/>
      <c r="N925" s="67"/>
      <c r="O925" s="67"/>
      <c r="P925" s="67"/>
      <c r="Q925" s="67"/>
      <c r="R925" s="67"/>
    </row>
    <row r="926" spans="4:18" ht="15.75" customHeight="1">
      <c r="D926" s="94"/>
      <c r="E926" s="95"/>
      <c r="F926" s="95"/>
      <c r="G926" s="67"/>
      <c r="H926" s="67"/>
      <c r="I926" s="67"/>
      <c r="J926" s="67"/>
      <c r="K926" s="67"/>
      <c r="L926" s="67"/>
      <c r="M926" s="67"/>
      <c r="N926" s="67"/>
      <c r="O926" s="67"/>
      <c r="P926" s="67"/>
      <c r="Q926" s="67"/>
      <c r="R926" s="67"/>
    </row>
    <row r="927" spans="4:18" ht="15.75" customHeight="1">
      <c r="D927" s="94"/>
      <c r="E927" s="95"/>
      <c r="F927" s="95"/>
      <c r="G927" s="67"/>
      <c r="H927" s="67"/>
      <c r="I927" s="67"/>
      <c r="J927" s="67"/>
      <c r="K927" s="67"/>
      <c r="L927" s="67"/>
      <c r="M927" s="67"/>
      <c r="N927" s="67"/>
      <c r="O927" s="67"/>
      <c r="P927" s="67"/>
      <c r="Q927" s="67"/>
      <c r="R927" s="67"/>
    </row>
    <row r="928" spans="4:18" ht="15.75" customHeight="1">
      <c r="D928" s="94"/>
      <c r="E928" s="95"/>
      <c r="F928" s="95"/>
      <c r="G928" s="67"/>
      <c r="H928" s="67"/>
      <c r="I928" s="67"/>
      <c r="J928" s="67"/>
      <c r="K928" s="67"/>
      <c r="L928" s="67"/>
      <c r="M928" s="67"/>
      <c r="N928" s="67"/>
      <c r="O928" s="67"/>
      <c r="P928" s="67"/>
      <c r="Q928" s="67"/>
      <c r="R928" s="67"/>
    </row>
    <row r="929" spans="4:18" ht="15.75" customHeight="1">
      <c r="D929" s="94"/>
      <c r="E929" s="95"/>
      <c r="F929" s="95"/>
      <c r="G929" s="67"/>
      <c r="H929" s="67"/>
      <c r="I929" s="67"/>
      <c r="J929" s="67"/>
      <c r="K929" s="67"/>
      <c r="L929" s="67"/>
      <c r="M929" s="67"/>
      <c r="N929" s="67"/>
      <c r="O929" s="67"/>
      <c r="P929" s="67"/>
      <c r="Q929" s="67"/>
      <c r="R929" s="67"/>
    </row>
    <row r="930" spans="4:18" ht="15.75" customHeight="1">
      <c r="D930" s="94"/>
      <c r="E930" s="95"/>
      <c r="F930" s="95"/>
      <c r="G930" s="67"/>
      <c r="H930" s="67"/>
      <c r="I930" s="67"/>
      <c r="J930" s="67"/>
      <c r="K930" s="67"/>
      <c r="L930" s="67"/>
      <c r="M930" s="67"/>
      <c r="N930" s="67"/>
      <c r="O930" s="67"/>
      <c r="P930" s="67"/>
      <c r="Q930" s="67"/>
      <c r="R930" s="67"/>
    </row>
    <row r="931" spans="4:18" ht="15.75" customHeight="1">
      <c r="D931" s="94"/>
      <c r="E931" s="95"/>
      <c r="F931" s="95"/>
      <c r="G931" s="67"/>
      <c r="H931" s="67"/>
      <c r="I931" s="67"/>
      <c r="J931" s="67"/>
      <c r="K931" s="67"/>
      <c r="L931" s="67"/>
      <c r="M931" s="67"/>
      <c r="N931" s="67"/>
      <c r="O931" s="67"/>
      <c r="P931" s="67"/>
      <c r="Q931" s="67"/>
      <c r="R931" s="67"/>
    </row>
    <row r="932" spans="4:18" ht="15.75" customHeight="1">
      <c r="D932" s="94"/>
      <c r="E932" s="95"/>
      <c r="F932" s="95"/>
      <c r="G932" s="67"/>
      <c r="H932" s="67"/>
      <c r="I932" s="67"/>
      <c r="J932" s="67"/>
      <c r="K932" s="67"/>
      <c r="L932" s="67"/>
      <c r="M932" s="67"/>
      <c r="N932" s="67"/>
      <c r="O932" s="67"/>
      <c r="P932" s="67"/>
      <c r="Q932" s="67"/>
      <c r="R932" s="67"/>
    </row>
    <row r="933" spans="4:18" ht="15.75" customHeight="1">
      <c r="D933" s="94"/>
      <c r="E933" s="95"/>
      <c r="F933" s="95"/>
      <c r="G933" s="67"/>
      <c r="H933" s="67"/>
      <c r="I933" s="67"/>
      <c r="J933" s="67"/>
      <c r="K933" s="67"/>
      <c r="L933" s="67"/>
      <c r="M933" s="67"/>
      <c r="N933" s="67"/>
      <c r="O933" s="67"/>
      <c r="P933" s="67"/>
      <c r="Q933" s="67"/>
      <c r="R933" s="67"/>
    </row>
    <row r="934" spans="4:18" ht="15.75" customHeight="1">
      <c r="D934" s="94"/>
      <c r="E934" s="95"/>
      <c r="F934" s="95"/>
      <c r="G934" s="67"/>
      <c r="H934" s="67"/>
      <c r="I934" s="67"/>
      <c r="J934" s="67"/>
      <c r="K934" s="67"/>
      <c r="L934" s="67"/>
      <c r="M934" s="67"/>
      <c r="N934" s="67"/>
      <c r="O934" s="67"/>
      <c r="P934" s="67"/>
      <c r="Q934" s="67"/>
      <c r="R934" s="67"/>
    </row>
    <row r="935" spans="4:18" ht="15.75" customHeight="1">
      <c r="D935" s="94"/>
      <c r="E935" s="95"/>
      <c r="F935" s="95"/>
      <c r="G935" s="67"/>
      <c r="H935" s="67"/>
      <c r="I935" s="67"/>
      <c r="J935" s="67"/>
      <c r="K935" s="67"/>
      <c r="L935" s="67"/>
      <c r="M935" s="67"/>
      <c r="N935" s="67"/>
      <c r="O935" s="67"/>
      <c r="P935" s="67"/>
      <c r="Q935" s="67"/>
      <c r="R935" s="67"/>
    </row>
    <row r="936" spans="4:18" ht="15.75" customHeight="1">
      <c r="D936" s="94"/>
      <c r="E936" s="95"/>
      <c r="F936" s="95"/>
      <c r="G936" s="67"/>
      <c r="H936" s="67"/>
      <c r="I936" s="67"/>
      <c r="J936" s="67"/>
      <c r="K936" s="67"/>
      <c r="L936" s="67"/>
      <c r="M936" s="67"/>
      <c r="N936" s="67"/>
      <c r="O936" s="67"/>
      <c r="P936" s="67"/>
      <c r="Q936" s="67"/>
      <c r="R936" s="67"/>
    </row>
    <row r="937" spans="4:18" ht="15.75" customHeight="1">
      <c r="D937" s="94"/>
      <c r="E937" s="95"/>
      <c r="F937" s="95"/>
      <c r="G937" s="67"/>
      <c r="H937" s="67"/>
      <c r="I937" s="67"/>
      <c r="J937" s="67"/>
      <c r="K937" s="67"/>
      <c r="L937" s="67"/>
      <c r="M937" s="67"/>
      <c r="N937" s="67"/>
      <c r="O937" s="67"/>
      <c r="P937" s="67"/>
      <c r="Q937" s="67"/>
      <c r="R937" s="67"/>
    </row>
    <row r="938" spans="4:18" ht="15.75" customHeight="1">
      <c r="D938" s="94"/>
      <c r="E938" s="95"/>
      <c r="F938" s="95"/>
      <c r="G938" s="67"/>
      <c r="H938" s="67"/>
      <c r="I938" s="67"/>
      <c r="J938" s="67"/>
      <c r="K938" s="67"/>
      <c r="L938" s="67"/>
      <c r="M938" s="67"/>
      <c r="N938" s="67"/>
      <c r="O938" s="67"/>
      <c r="P938" s="67"/>
      <c r="Q938" s="67"/>
      <c r="R938" s="67"/>
    </row>
    <row r="939" spans="4:18" ht="15.75" customHeight="1">
      <c r="D939" s="94"/>
      <c r="E939" s="95"/>
      <c r="F939" s="95"/>
      <c r="G939" s="67"/>
      <c r="H939" s="67"/>
      <c r="I939" s="67"/>
      <c r="J939" s="67"/>
      <c r="K939" s="67"/>
      <c r="L939" s="67"/>
      <c r="M939" s="67"/>
      <c r="N939" s="67"/>
      <c r="O939" s="67"/>
      <c r="P939" s="67"/>
      <c r="Q939" s="67"/>
      <c r="R939" s="67"/>
    </row>
    <row r="940" spans="4:18" ht="15.75" customHeight="1">
      <c r="D940" s="94"/>
      <c r="E940" s="95"/>
      <c r="F940" s="95"/>
      <c r="G940" s="67"/>
      <c r="H940" s="67"/>
      <c r="I940" s="67"/>
      <c r="J940" s="67"/>
      <c r="K940" s="67"/>
      <c r="L940" s="67"/>
      <c r="M940" s="67"/>
      <c r="N940" s="67"/>
      <c r="O940" s="67"/>
      <c r="P940" s="67"/>
      <c r="Q940" s="67"/>
      <c r="R940" s="67"/>
    </row>
    <row r="941" spans="4:18" ht="15.75" customHeight="1">
      <c r="D941" s="94"/>
      <c r="E941" s="95"/>
      <c r="F941" s="95"/>
      <c r="G941" s="67"/>
      <c r="H941" s="67"/>
      <c r="I941" s="67"/>
      <c r="J941" s="67"/>
      <c r="K941" s="67"/>
      <c r="L941" s="67"/>
      <c r="M941" s="67"/>
      <c r="N941" s="67"/>
      <c r="O941" s="67"/>
      <c r="P941" s="67"/>
      <c r="Q941" s="67"/>
      <c r="R941" s="67"/>
    </row>
    <row r="942" spans="4:18" ht="15.75" customHeight="1">
      <c r="D942" s="94"/>
      <c r="E942" s="95"/>
      <c r="F942" s="95"/>
      <c r="G942" s="67"/>
      <c r="H942" s="67"/>
      <c r="I942" s="67"/>
      <c r="J942" s="67"/>
      <c r="K942" s="67"/>
      <c r="L942" s="67"/>
      <c r="M942" s="67"/>
      <c r="N942" s="67"/>
      <c r="O942" s="67"/>
      <c r="P942" s="67"/>
      <c r="Q942" s="67"/>
      <c r="R942" s="67"/>
    </row>
    <row r="943" spans="4:18" ht="15.75" customHeight="1">
      <c r="D943" s="94"/>
      <c r="E943" s="95"/>
      <c r="F943" s="95"/>
      <c r="G943" s="67"/>
      <c r="H943" s="67"/>
      <c r="I943" s="67"/>
      <c r="J943" s="67"/>
      <c r="K943" s="67"/>
      <c r="L943" s="67"/>
      <c r="M943" s="67"/>
      <c r="N943" s="67"/>
      <c r="O943" s="67"/>
      <c r="P943" s="67"/>
      <c r="Q943" s="67"/>
      <c r="R943" s="67"/>
    </row>
    <row r="944" spans="4:18" ht="15.75" customHeight="1">
      <c r="D944" s="94"/>
      <c r="E944" s="95"/>
      <c r="F944" s="95"/>
      <c r="G944" s="67"/>
      <c r="H944" s="67"/>
      <c r="I944" s="67"/>
      <c r="J944" s="67"/>
      <c r="K944" s="67"/>
      <c r="L944" s="67"/>
      <c r="M944" s="67"/>
      <c r="N944" s="67"/>
      <c r="O944" s="67"/>
      <c r="P944" s="67"/>
      <c r="Q944" s="67"/>
      <c r="R944" s="67"/>
    </row>
    <row r="945" spans="4:18" ht="15.75" customHeight="1">
      <c r="D945" s="94"/>
      <c r="E945" s="95"/>
      <c r="F945" s="95"/>
      <c r="G945" s="67"/>
      <c r="H945" s="67"/>
      <c r="I945" s="67"/>
      <c r="J945" s="67"/>
      <c r="K945" s="67"/>
      <c r="L945" s="67"/>
      <c r="M945" s="67"/>
      <c r="N945" s="67"/>
      <c r="O945" s="67"/>
      <c r="P945" s="67"/>
      <c r="Q945" s="67"/>
      <c r="R945" s="67"/>
    </row>
    <row r="946" spans="4:18" ht="15.75" customHeight="1">
      <c r="D946" s="94"/>
      <c r="E946" s="95"/>
      <c r="F946" s="95"/>
      <c r="G946" s="67"/>
      <c r="H946" s="67"/>
      <c r="I946" s="67"/>
      <c r="J946" s="67"/>
      <c r="K946" s="67"/>
      <c r="L946" s="67"/>
      <c r="M946" s="67"/>
      <c r="N946" s="67"/>
      <c r="O946" s="67"/>
      <c r="P946" s="67"/>
      <c r="Q946" s="67"/>
      <c r="R946" s="67"/>
    </row>
    <row r="947" spans="4:18" ht="15.75" customHeight="1">
      <c r="D947" s="94"/>
      <c r="E947" s="95"/>
      <c r="F947" s="95"/>
      <c r="G947" s="67"/>
      <c r="H947" s="67"/>
      <c r="I947" s="67"/>
      <c r="J947" s="67"/>
      <c r="K947" s="67"/>
      <c r="L947" s="67"/>
      <c r="M947" s="67"/>
      <c r="N947" s="67"/>
      <c r="O947" s="67"/>
      <c r="P947" s="67"/>
      <c r="Q947" s="67"/>
      <c r="R947" s="67"/>
    </row>
    <row r="948" spans="4:18" ht="15.75" customHeight="1">
      <c r="D948" s="94"/>
      <c r="E948" s="95"/>
      <c r="F948" s="95"/>
      <c r="G948" s="67"/>
      <c r="H948" s="67"/>
      <c r="I948" s="67"/>
      <c r="J948" s="67"/>
      <c r="K948" s="67"/>
      <c r="L948" s="67"/>
      <c r="M948" s="67"/>
      <c r="N948" s="67"/>
      <c r="O948" s="67"/>
      <c r="P948" s="67"/>
      <c r="Q948" s="67"/>
      <c r="R948" s="67"/>
    </row>
    <row r="949" spans="4:18" ht="15.75" customHeight="1">
      <c r="D949" s="94"/>
      <c r="E949" s="95"/>
      <c r="F949" s="95"/>
      <c r="G949" s="67"/>
      <c r="H949" s="67"/>
      <c r="I949" s="67"/>
      <c r="J949" s="67"/>
      <c r="K949" s="67"/>
      <c r="L949" s="67"/>
      <c r="M949" s="67"/>
      <c r="N949" s="67"/>
      <c r="O949" s="67"/>
      <c r="P949" s="67"/>
      <c r="Q949" s="67"/>
      <c r="R949" s="67"/>
    </row>
    <row r="950" spans="4:18" ht="15.75" customHeight="1">
      <c r="D950" s="94"/>
      <c r="E950" s="95"/>
      <c r="F950" s="95"/>
      <c r="G950" s="67"/>
      <c r="H950" s="67"/>
      <c r="I950" s="67"/>
      <c r="J950" s="67"/>
      <c r="K950" s="67"/>
      <c r="L950" s="67"/>
      <c r="M950" s="67"/>
      <c r="N950" s="67"/>
      <c r="O950" s="67"/>
      <c r="P950" s="67"/>
      <c r="Q950" s="67"/>
      <c r="R950" s="67"/>
    </row>
    <row r="951" spans="4:18" ht="15.75" customHeight="1">
      <c r="D951" s="94"/>
      <c r="E951" s="95"/>
      <c r="F951" s="95"/>
      <c r="G951" s="67"/>
      <c r="H951" s="67"/>
      <c r="I951" s="67"/>
      <c r="J951" s="67"/>
      <c r="K951" s="67"/>
      <c r="L951" s="67"/>
      <c r="M951" s="67"/>
      <c r="N951" s="67"/>
      <c r="O951" s="67"/>
      <c r="P951" s="67"/>
      <c r="Q951" s="67"/>
      <c r="R951" s="67"/>
    </row>
    <row r="952" spans="4:18" ht="15.75" customHeight="1">
      <c r="D952" s="94"/>
      <c r="E952" s="95"/>
      <c r="F952" s="95"/>
      <c r="G952" s="67"/>
      <c r="H952" s="67"/>
      <c r="I952" s="67"/>
      <c r="J952" s="67"/>
      <c r="K952" s="67"/>
      <c r="L952" s="67"/>
      <c r="M952" s="67"/>
      <c r="N952" s="67"/>
      <c r="O952" s="67"/>
      <c r="P952" s="67"/>
      <c r="Q952" s="67"/>
      <c r="R952" s="67"/>
    </row>
    <row r="953" spans="4:18" ht="15.75" customHeight="1">
      <c r="D953" s="94"/>
      <c r="E953" s="95"/>
      <c r="F953" s="95"/>
      <c r="G953" s="67"/>
      <c r="H953" s="67"/>
      <c r="I953" s="67"/>
      <c r="J953" s="67"/>
      <c r="K953" s="67"/>
      <c r="L953" s="67"/>
      <c r="M953" s="67"/>
      <c r="N953" s="67"/>
      <c r="O953" s="67"/>
      <c r="P953" s="67"/>
      <c r="Q953" s="67"/>
      <c r="R953" s="67"/>
    </row>
    <row r="954" spans="4:18" ht="15.75" customHeight="1">
      <c r="D954" s="94"/>
      <c r="E954" s="95"/>
      <c r="F954" s="95"/>
      <c r="G954" s="67"/>
      <c r="H954" s="67"/>
      <c r="I954" s="67"/>
      <c r="J954" s="67"/>
      <c r="K954" s="67"/>
      <c r="L954" s="67"/>
      <c r="M954" s="67"/>
      <c r="N954" s="67"/>
      <c r="O954" s="67"/>
      <c r="P954" s="67"/>
      <c r="Q954" s="67"/>
      <c r="R954" s="67"/>
    </row>
    <row r="955" spans="4:18" ht="15.75" customHeight="1">
      <c r="D955" s="94"/>
      <c r="E955" s="95"/>
      <c r="F955" s="95"/>
      <c r="G955" s="67"/>
      <c r="H955" s="67"/>
      <c r="I955" s="67"/>
      <c r="J955" s="67"/>
      <c r="K955" s="67"/>
      <c r="L955" s="67"/>
      <c r="M955" s="67"/>
      <c r="N955" s="67"/>
      <c r="O955" s="67"/>
      <c r="P955" s="67"/>
      <c r="Q955" s="67"/>
      <c r="R955" s="67"/>
    </row>
    <row r="956" spans="4:18" ht="15.75" customHeight="1">
      <c r="D956" s="94"/>
      <c r="E956" s="95"/>
      <c r="F956" s="95"/>
      <c r="G956" s="67"/>
      <c r="H956" s="67"/>
      <c r="I956" s="67"/>
      <c r="J956" s="67"/>
      <c r="K956" s="67"/>
      <c r="L956" s="67"/>
      <c r="M956" s="67"/>
      <c r="N956" s="67"/>
      <c r="O956" s="67"/>
      <c r="P956" s="67"/>
      <c r="Q956" s="67"/>
      <c r="R956" s="67"/>
    </row>
    <row r="957" spans="4:18" ht="15.75" customHeight="1">
      <c r="D957" s="94"/>
      <c r="E957" s="95"/>
      <c r="F957" s="95"/>
      <c r="G957" s="67"/>
      <c r="H957" s="67"/>
      <c r="I957" s="67"/>
      <c r="J957" s="67"/>
      <c r="K957" s="67"/>
      <c r="L957" s="67"/>
      <c r="M957" s="67"/>
      <c r="N957" s="67"/>
      <c r="O957" s="67"/>
      <c r="P957" s="67"/>
      <c r="Q957" s="67"/>
      <c r="R957" s="67"/>
    </row>
    <row r="958" spans="4:18" ht="15.75" customHeight="1">
      <c r="D958" s="94"/>
      <c r="E958" s="95"/>
      <c r="F958" s="95"/>
      <c r="G958" s="67"/>
      <c r="H958" s="67"/>
      <c r="I958" s="67"/>
      <c r="J958" s="67"/>
      <c r="K958" s="67"/>
      <c r="L958" s="67"/>
      <c r="M958" s="67"/>
      <c r="N958" s="67"/>
      <c r="O958" s="67"/>
      <c r="P958" s="67"/>
      <c r="Q958" s="67"/>
      <c r="R958" s="67"/>
    </row>
    <row r="959" spans="4:18" ht="15.75" customHeight="1">
      <c r="D959" s="94"/>
      <c r="E959" s="95"/>
      <c r="F959" s="95"/>
      <c r="G959" s="67"/>
      <c r="H959" s="67"/>
      <c r="I959" s="67"/>
      <c r="J959" s="67"/>
      <c r="K959" s="67"/>
      <c r="L959" s="67"/>
      <c r="M959" s="67"/>
      <c r="N959" s="67"/>
      <c r="O959" s="67"/>
      <c r="P959" s="67"/>
      <c r="Q959" s="67"/>
      <c r="R959" s="67"/>
    </row>
    <row r="960" spans="4:18" ht="15.75" customHeight="1">
      <c r="D960" s="94"/>
      <c r="E960" s="95"/>
      <c r="F960" s="95"/>
      <c r="G960" s="67"/>
      <c r="H960" s="67"/>
      <c r="I960" s="67"/>
      <c r="J960" s="67"/>
      <c r="K960" s="67"/>
      <c r="L960" s="67"/>
      <c r="M960" s="67"/>
      <c r="N960" s="67"/>
      <c r="O960" s="67"/>
      <c r="P960" s="67"/>
      <c r="Q960" s="67"/>
      <c r="R960" s="67"/>
    </row>
    <row r="961" spans="4:18" ht="15.75" customHeight="1">
      <c r="D961" s="94"/>
      <c r="E961" s="95"/>
      <c r="F961" s="95"/>
      <c r="G961" s="67"/>
      <c r="H961" s="67"/>
      <c r="I961" s="67"/>
      <c r="J961" s="67"/>
      <c r="K961" s="67"/>
      <c r="L961" s="67"/>
      <c r="M961" s="67"/>
      <c r="N961" s="67"/>
      <c r="O961" s="67"/>
      <c r="P961" s="67"/>
      <c r="Q961" s="67"/>
      <c r="R961" s="67"/>
    </row>
    <row r="962" spans="4:18" ht="15.75" customHeight="1">
      <c r="D962" s="94"/>
      <c r="E962" s="95"/>
      <c r="F962" s="95"/>
      <c r="G962" s="67"/>
      <c r="H962" s="67"/>
      <c r="I962" s="67"/>
      <c r="J962" s="67"/>
      <c r="K962" s="67"/>
      <c r="L962" s="67"/>
      <c r="M962" s="67"/>
      <c r="N962" s="67"/>
      <c r="O962" s="67"/>
      <c r="P962" s="67"/>
      <c r="Q962" s="67"/>
      <c r="R962" s="67"/>
    </row>
    <row r="963" spans="4:18" ht="15.75" customHeight="1">
      <c r="D963" s="94"/>
      <c r="E963" s="95"/>
      <c r="F963" s="95"/>
      <c r="G963" s="67"/>
      <c r="H963" s="67"/>
      <c r="I963" s="67"/>
      <c r="J963" s="67"/>
      <c r="K963" s="67"/>
      <c r="L963" s="67"/>
      <c r="M963" s="67"/>
      <c r="N963" s="67"/>
      <c r="O963" s="67"/>
      <c r="P963" s="67"/>
      <c r="Q963" s="67"/>
      <c r="R963" s="67"/>
    </row>
    <row r="964" spans="4:18" ht="15.75" customHeight="1">
      <c r="D964" s="94"/>
      <c r="E964" s="95"/>
      <c r="F964" s="95"/>
      <c r="G964" s="67"/>
      <c r="H964" s="67"/>
      <c r="I964" s="67"/>
      <c r="J964" s="67"/>
      <c r="K964" s="67"/>
      <c r="L964" s="67"/>
      <c r="M964" s="67"/>
      <c r="N964" s="67"/>
      <c r="O964" s="67"/>
      <c r="P964" s="67"/>
      <c r="Q964" s="67"/>
      <c r="R964" s="67"/>
    </row>
    <row r="965" spans="4:18" ht="15.75" customHeight="1">
      <c r="D965" s="94"/>
      <c r="E965" s="95"/>
      <c r="F965" s="95"/>
      <c r="G965" s="67"/>
      <c r="H965" s="67"/>
      <c r="I965" s="67"/>
      <c r="J965" s="67"/>
      <c r="K965" s="67"/>
      <c r="L965" s="67"/>
      <c r="M965" s="67"/>
      <c r="N965" s="67"/>
      <c r="O965" s="67"/>
      <c r="P965" s="67"/>
      <c r="Q965" s="67"/>
      <c r="R965" s="67"/>
    </row>
    <row r="966" spans="4:18" ht="15.75" customHeight="1">
      <c r="D966" s="94"/>
      <c r="E966" s="95"/>
      <c r="F966" s="95"/>
      <c r="G966" s="67"/>
      <c r="H966" s="67"/>
      <c r="I966" s="67"/>
      <c r="J966" s="67"/>
      <c r="K966" s="67"/>
      <c r="L966" s="67"/>
      <c r="M966" s="67"/>
      <c r="N966" s="67"/>
      <c r="O966" s="67"/>
      <c r="P966" s="67"/>
      <c r="Q966" s="67"/>
      <c r="R966" s="67"/>
    </row>
    <row r="967" spans="4:18" ht="15.75" customHeight="1">
      <c r="D967" s="94"/>
      <c r="E967" s="95"/>
      <c r="F967" s="95"/>
      <c r="G967" s="67"/>
      <c r="H967" s="67"/>
      <c r="I967" s="67"/>
      <c r="J967" s="67"/>
      <c r="K967" s="67"/>
      <c r="L967" s="67"/>
      <c r="M967" s="67"/>
      <c r="N967" s="67"/>
      <c r="O967" s="67"/>
      <c r="P967" s="67"/>
      <c r="Q967" s="67"/>
      <c r="R967" s="67"/>
    </row>
    <row r="968" spans="4:18" ht="15.75" customHeight="1">
      <c r="D968" s="94"/>
      <c r="E968" s="95"/>
      <c r="F968" s="95"/>
      <c r="G968" s="67"/>
      <c r="H968" s="67"/>
      <c r="I968" s="67"/>
      <c r="J968" s="67"/>
      <c r="K968" s="67"/>
      <c r="L968" s="67"/>
      <c r="M968" s="67"/>
      <c r="N968" s="67"/>
      <c r="O968" s="67"/>
      <c r="P968" s="67"/>
      <c r="Q968" s="67"/>
      <c r="R968" s="67"/>
    </row>
    <row r="969" spans="4:18" ht="15.75" customHeight="1">
      <c r="D969" s="94"/>
      <c r="E969" s="95"/>
      <c r="F969" s="95"/>
      <c r="G969" s="67"/>
      <c r="H969" s="67"/>
      <c r="I969" s="67"/>
      <c r="J969" s="67"/>
      <c r="K969" s="67"/>
      <c r="L969" s="67"/>
      <c r="M969" s="67"/>
      <c r="N969" s="67"/>
      <c r="O969" s="67"/>
      <c r="P969" s="67"/>
      <c r="Q969" s="67"/>
      <c r="R969" s="67"/>
    </row>
    <row r="970" spans="4:18" ht="15.75" customHeight="1">
      <c r="D970" s="94"/>
      <c r="E970" s="95"/>
      <c r="F970" s="95"/>
      <c r="G970" s="67"/>
      <c r="H970" s="67"/>
      <c r="I970" s="67"/>
      <c r="J970" s="67"/>
      <c r="K970" s="67"/>
      <c r="L970" s="67"/>
      <c r="M970" s="67"/>
      <c r="N970" s="67"/>
      <c r="O970" s="67"/>
      <c r="P970" s="67"/>
      <c r="Q970" s="67"/>
      <c r="R970" s="67"/>
    </row>
    <row r="971" spans="4:18" ht="15.75" customHeight="1">
      <c r="D971" s="94"/>
      <c r="E971" s="95"/>
      <c r="F971" s="95"/>
      <c r="G971" s="67"/>
      <c r="H971" s="67"/>
      <c r="I971" s="67"/>
      <c r="J971" s="67"/>
      <c r="K971" s="67"/>
      <c r="L971" s="67"/>
      <c r="M971" s="67"/>
      <c r="N971" s="67"/>
      <c r="O971" s="67"/>
      <c r="P971" s="67"/>
      <c r="Q971" s="67"/>
      <c r="R971" s="67"/>
    </row>
    <row r="972" spans="4:18" ht="15.75" customHeight="1">
      <c r="D972" s="94"/>
      <c r="E972" s="95"/>
      <c r="F972" s="95"/>
      <c r="G972" s="67"/>
      <c r="H972" s="67"/>
      <c r="I972" s="67"/>
      <c r="J972" s="67"/>
      <c r="K972" s="67"/>
      <c r="L972" s="67"/>
      <c r="M972" s="67"/>
      <c r="N972" s="67"/>
      <c r="O972" s="67"/>
      <c r="P972" s="67"/>
      <c r="Q972" s="67"/>
      <c r="R972" s="67"/>
    </row>
    <row r="973" spans="4:18" ht="15.75" customHeight="1">
      <c r="D973" s="94"/>
      <c r="E973" s="95"/>
      <c r="F973" s="95"/>
      <c r="G973" s="67"/>
      <c r="H973" s="67"/>
      <c r="I973" s="67"/>
      <c r="J973" s="67"/>
      <c r="K973" s="67"/>
      <c r="L973" s="67"/>
      <c r="M973" s="67"/>
      <c r="N973" s="67"/>
      <c r="O973" s="67"/>
      <c r="P973" s="67"/>
      <c r="Q973" s="67"/>
      <c r="R973" s="67"/>
    </row>
    <row r="974" spans="4:18" ht="15.75" customHeight="1">
      <c r="D974" s="94"/>
      <c r="E974" s="95"/>
      <c r="F974" s="95"/>
      <c r="G974" s="67"/>
      <c r="H974" s="67"/>
      <c r="I974" s="67"/>
      <c r="J974" s="67"/>
      <c r="K974" s="67"/>
      <c r="L974" s="67"/>
      <c r="M974" s="67"/>
      <c r="N974" s="67"/>
      <c r="O974" s="67"/>
      <c r="P974" s="67"/>
      <c r="Q974" s="67"/>
      <c r="R974" s="67"/>
    </row>
    <row r="975" spans="4:18" ht="15.75" customHeight="1">
      <c r="D975" s="94"/>
      <c r="E975" s="95"/>
      <c r="F975" s="95"/>
      <c r="G975" s="67"/>
      <c r="H975" s="67"/>
      <c r="I975" s="67"/>
      <c r="J975" s="67"/>
      <c r="K975" s="67"/>
      <c r="L975" s="67"/>
      <c r="M975" s="67"/>
      <c r="N975" s="67"/>
      <c r="O975" s="67"/>
      <c r="P975" s="67"/>
      <c r="Q975" s="67"/>
      <c r="R975" s="67"/>
    </row>
    <row r="976" spans="4:18" ht="15.75" customHeight="1">
      <c r="D976" s="94"/>
      <c r="E976" s="95"/>
      <c r="F976" s="95"/>
      <c r="G976" s="67"/>
      <c r="H976" s="67"/>
      <c r="I976" s="67"/>
      <c r="J976" s="67"/>
      <c r="K976" s="67"/>
      <c r="L976" s="67"/>
      <c r="M976" s="67"/>
      <c r="N976" s="67"/>
      <c r="O976" s="67"/>
      <c r="P976" s="67"/>
      <c r="Q976" s="67"/>
      <c r="R976" s="67"/>
    </row>
    <row r="977" spans="4:18" ht="15.75" customHeight="1">
      <c r="D977" s="94"/>
      <c r="E977" s="95"/>
      <c r="F977" s="95"/>
      <c r="G977" s="67"/>
      <c r="H977" s="67"/>
      <c r="I977" s="67"/>
      <c r="J977" s="67"/>
      <c r="K977" s="67"/>
      <c r="L977" s="67"/>
      <c r="M977" s="67"/>
      <c r="N977" s="67"/>
      <c r="O977" s="67"/>
      <c r="P977" s="67"/>
      <c r="Q977" s="67"/>
      <c r="R977" s="67"/>
    </row>
    <row r="978" spans="4:18" ht="15.75" customHeight="1">
      <c r="D978" s="94"/>
      <c r="E978" s="95"/>
      <c r="F978" s="95"/>
      <c r="G978" s="67"/>
      <c r="H978" s="67"/>
      <c r="I978" s="67"/>
      <c r="J978" s="67"/>
      <c r="K978" s="67"/>
      <c r="L978" s="67"/>
      <c r="M978" s="67"/>
      <c r="N978" s="67"/>
      <c r="O978" s="67"/>
      <c r="P978" s="67"/>
      <c r="Q978" s="67"/>
      <c r="R978" s="67"/>
    </row>
    <row r="979" spans="4:18" ht="15.75" customHeight="1">
      <c r="D979" s="94"/>
      <c r="E979" s="95"/>
      <c r="F979" s="95"/>
      <c r="G979" s="67"/>
      <c r="H979" s="67"/>
      <c r="I979" s="67"/>
      <c r="J979" s="67"/>
      <c r="K979" s="67"/>
      <c r="L979" s="67"/>
      <c r="M979" s="67"/>
      <c r="N979" s="67"/>
      <c r="O979" s="67"/>
      <c r="P979" s="67"/>
      <c r="Q979" s="67"/>
      <c r="R979" s="67"/>
    </row>
    <row r="980" spans="4:18" ht="15.75" customHeight="1">
      <c r="D980" s="94"/>
      <c r="E980" s="95"/>
      <c r="F980" s="95"/>
      <c r="G980" s="67"/>
      <c r="H980" s="67"/>
      <c r="I980" s="67"/>
      <c r="J980" s="67"/>
      <c r="K980" s="67"/>
      <c r="L980" s="67"/>
      <c r="M980" s="67"/>
      <c r="N980" s="67"/>
      <c r="O980" s="67"/>
      <c r="P980" s="67"/>
      <c r="Q980" s="67"/>
      <c r="R980" s="67"/>
    </row>
    <row r="981" spans="4:18" ht="15.75" customHeight="1">
      <c r="D981" s="94"/>
      <c r="E981" s="95"/>
      <c r="F981" s="95"/>
      <c r="G981" s="67"/>
      <c r="H981" s="67"/>
      <c r="I981" s="67"/>
      <c r="J981" s="67"/>
      <c r="K981" s="67"/>
      <c r="L981" s="67"/>
      <c r="M981" s="67"/>
      <c r="N981" s="67"/>
      <c r="O981" s="67"/>
      <c r="P981" s="67"/>
      <c r="Q981" s="67"/>
      <c r="R981" s="67"/>
    </row>
    <row r="982" spans="4:18" ht="15.75" customHeight="1">
      <c r="D982" s="94"/>
      <c r="E982" s="95"/>
      <c r="F982" s="95"/>
      <c r="G982" s="67"/>
      <c r="H982" s="67"/>
      <c r="I982" s="67"/>
      <c r="J982" s="67"/>
      <c r="K982" s="67"/>
      <c r="L982" s="67"/>
      <c r="M982" s="67"/>
      <c r="N982" s="67"/>
      <c r="O982" s="67"/>
      <c r="P982" s="67"/>
      <c r="Q982" s="67"/>
      <c r="R982" s="67"/>
    </row>
    <row r="983" spans="4:18" ht="15.75" customHeight="1">
      <c r="D983" s="94"/>
      <c r="E983" s="95"/>
      <c r="F983" s="95"/>
      <c r="G983" s="67"/>
      <c r="H983" s="67"/>
      <c r="I983" s="67"/>
      <c r="J983" s="67"/>
      <c r="K983" s="67"/>
      <c r="L983" s="67"/>
      <c r="M983" s="67"/>
      <c r="N983" s="67"/>
      <c r="O983" s="67"/>
      <c r="P983" s="67"/>
      <c r="Q983" s="67"/>
      <c r="R983" s="67"/>
    </row>
    <row r="984" spans="4:18" ht="15.75" customHeight="1">
      <c r="D984" s="94"/>
      <c r="E984" s="95"/>
      <c r="F984" s="95"/>
      <c r="G984" s="67"/>
      <c r="H984" s="67"/>
      <c r="I984" s="67"/>
      <c r="J984" s="67"/>
      <c r="K984" s="67"/>
      <c r="L984" s="67"/>
      <c r="M984" s="67"/>
      <c r="N984" s="67"/>
      <c r="O984" s="67"/>
      <c r="P984" s="67"/>
      <c r="Q984" s="67"/>
      <c r="R984" s="67"/>
    </row>
    <row r="985" spans="4:18" ht="15.75" customHeight="1">
      <c r="D985" s="94"/>
      <c r="E985" s="95"/>
      <c r="F985" s="95"/>
      <c r="G985" s="67"/>
      <c r="H985" s="67"/>
      <c r="I985" s="67"/>
      <c r="J985" s="67"/>
      <c r="K985" s="67"/>
      <c r="L985" s="67"/>
      <c r="M985" s="67"/>
      <c r="N985" s="67"/>
      <c r="O985" s="67"/>
      <c r="P985" s="67"/>
      <c r="Q985" s="67"/>
      <c r="R985" s="67"/>
    </row>
    <row r="986" spans="4:18" ht="15.75" customHeight="1">
      <c r="D986" s="94"/>
      <c r="E986" s="95"/>
      <c r="F986" s="95"/>
      <c r="G986" s="67"/>
      <c r="H986" s="67"/>
      <c r="I986" s="67"/>
      <c r="J986" s="67"/>
      <c r="K986" s="67"/>
      <c r="L986" s="67"/>
      <c r="M986" s="67"/>
      <c r="N986" s="67"/>
      <c r="O986" s="67"/>
      <c r="P986" s="67"/>
      <c r="Q986" s="67"/>
      <c r="R986" s="67"/>
    </row>
    <row r="987" spans="4:18" ht="15.75" customHeight="1">
      <c r="D987" s="94"/>
      <c r="E987" s="95"/>
      <c r="F987" s="95"/>
      <c r="G987" s="67"/>
      <c r="H987" s="67"/>
      <c r="I987" s="67"/>
      <c r="J987" s="67"/>
      <c r="K987" s="67"/>
      <c r="L987" s="67"/>
      <c r="M987" s="67"/>
      <c r="N987" s="67"/>
      <c r="O987" s="67"/>
      <c r="P987" s="67"/>
      <c r="Q987" s="67"/>
      <c r="R987" s="67"/>
    </row>
    <row r="988" spans="4:18" ht="15.75" customHeight="1">
      <c r="D988" s="94"/>
      <c r="E988" s="95"/>
      <c r="F988" s="95"/>
      <c r="G988" s="67"/>
      <c r="H988" s="67"/>
      <c r="I988" s="67"/>
      <c r="J988" s="67"/>
      <c r="K988" s="67"/>
      <c r="L988" s="67"/>
      <c r="M988" s="67"/>
      <c r="N988" s="67"/>
      <c r="O988" s="67"/>
      <c r="P988" s="67"/>
      <c r="Q988" s="67"/>
      <c r="R988" s="67"/>
    </row>
    <row r="989" spans="4:18" ht="15.75" customHeight="1">
      <c r="D989" s="94"/>
      <c r="E989" s="95"/>
      <c r="F989" s="95"/>
      <c r="G989" s="67"/>
      <c r="H989" s="67"/>
      <c r="I989" s="67"/>
      <c r="J989" s="67"/>
      <c r="K989" s="67"/>
      <c r="L989" s="67"/>
      <c r="M989" s="67"/>
      <c r="N989" s="67"/>
      <c r="O989" s="67"/>
      <c r="P989" s="67"/>
      <c r="Q989" s="67"/>
      <c r="R989" s="67"/>
    </row>
    <row r="990" spans="4:18" ht="15.75" customHeight="1">
      <c r="D990" s="94"/>
      <c r="E990" s="95"/>
      <c r="F990" s="95"/>
      <c r="G990" s="67"/>
      <c r="H990" s="67"/>
      <c r="I990" s="67"/>
      <c r="J990" s="67"/>
      <c r="K990" s="67"/>
      <c r="L990" s="67"/>
      <c r="M990" s="67"/>
      <c r="N990" s="67"/>
      <c r="O990" s="67"/>
      <c r="P990" s="67"/>
      <c r="Q990" s="67"/>
      <c r="R990" s="67"/>
    </row>
    <row r="991" spans="4:18" ht="15.75" customHeight="1">
      <c r="D991" s="94"/>
      <c r="E991" s="95"/>
      <c r="F991" s="95"/>
      <c r="G991" s="67"/>
      <c r="H991" s="67"/>
      <c r="I991" s="67"/>
      <c r="J991" s="67"/>
      <c r="K991" s="67"/>
      <c r="L991" s="67"/>
      <c r="M991" s="67"/>
      <c r="N991" s="67"/>
      <c r="O991" s="67"/>
      <c r="P991" s="67"/>
      <c r="Q991" s="67"/>
      <c r="R991" s="67"/>
    </row>
    <row r="992" spans="4:18" ht="15.75" customHeight="1">
      <c r="D992" s="94"/>
      <c r="E992" s="95"/>
      <c r="F992" s="95"/>
      <c r="G992" s="67"/>
      <c r="H992" s="67"/>
      <c r="I992" s="67"/>
      <c r="J992" s="67"/>
      <c r="K992" s="67"/>
      <c r="L992" s="67"/>
      <c r="M992" s="67"/>
      <c r="N992" s="67"/>
      <c r="O992" s="67"/>
      <c r="P992" s="67"/>
      <c r="Q992" s="67"/>
      <c r="R992" s="67"/>
    </row>
    <row r="993" spans="4:18" ht="15.75" customHeight="1">
      <c r="D993" s="94"/>
      <c r="E993" s="95"/>
      <c r="F993" s="95"/>
      <c r="G993" s="67"/>
      <c r="H993" s="67"/>
      <c r="I993" s="67"/>
      <c r="J993" s="67"/>
      <c r="K993" s="67"/>
      <c r="L993" s="67"/>
      <c r="M993" s="67"/>
      <c r="N993" s="67"/>
      <c r="O993" s="67"/>
      <c r="P993" s="67"/>
      <c r="Q993" s="67"/>
      <c r="R993" s="67"/>
    </row>
    <row r="994" spans="4:18" ht="15.75" customHeight="1">
      <c r="D994" s="94"/>
      <c r="E994" s="95"/>
      <c r="F994" s="95"/>
      <c r="G994" s="67"/>
      <c r="H994" s="67"/>
      <c r="I994" s="67"/>
      <c r="J994" s="67"/>
      <c r="K994" s="67"/>
      <c r="L994" s="67"/>
      <c r="M994" s="67"/>
      <c r="N994" s="67"/>
      <c r="O994" s="67"/>
      <c r="P994" s="67"/>
      <c r="Q994" s="67"/>
      <c r="R994" s="67"/>
    </row>
    <row r="995" spans="4:18" ht="15.75" customHeight="1">
      <c r="D995" s="94"/>
      <c r="E995" s="95"/>
      <c r="F995" s="95"/>
      <c r="G995" s="67"/>
      <c r="H995" s="67"/>
      <c r="I995" s="67"/>
      <c r="J995" s="67"/>
      <c r="K995" s="67"/>
      <c r="L995" s="67"/>
      <c r="M995" s="67"/>
      <c r="N995" s="67"/>
      <c r="O995" s="67"/>
      <c r="P995" s="67"/>
      <c r="Q995" s="67"/>
      <c r="R995" s="67"/>
    </row>
    <row r="996" spans="4:18" ht="15.75" customHeight="1">
      <c r="D996" s="94"/>
      <c r="E996" s="95"/>
      <c r="F996" s="95"/>
      <c r="G996" s="67"/>
      <c r="H996" s="67"/>
      <c r="I996" s="67"/>
      <c r="J996" s="67"/>
      <c r="K996" s="67"/>
      <c r="L996" s="67"/>
      <c r="M996" s="67"/>
      <c r="N996" s="67"/>
      <c r="O996" s="67"/>
      <c r="P996" s="67"/>
      <c r="Q996" s="67"/>
      <c r="R996" s="67"/>
    </row>
    <row r="997" spans="4:18" ht="15.75" customHeight="1">
      <c r="D997" s="94"/>
      <c r="E997" s="95"/>
      <c r="F997" s="95"/>
      <c r="G997" s="67"/>
      <c r="H997" s="67"/>
      <c r="I997" s="67"/>
      <c r="J997" s="67"/>
      <c r="K997" s="67"/>
      <c r="L997" s="67"/>
      <c r="M997" s="67"/>
      <c r="N997" s="67"/>
      <c r="O997" s="67"/>
      <c r="P997" s="67"/>
      <c r="Q997" s="67"/>
      <c r="R997" s="67"/>
    </row>
    <row r="998" spans="4:18" ht="15.75" customHeight="1">
      <c r="D998" s="94"/>
      <c r="E998" s="95"/>
      <c r="F998" s="95"/>
      <c r="G998" s="67"/>
      <c r="H998" s="67"/>
      <c r="I998" s="67"/>
      <c r="J998" s="67"/>
      <c r="K998" s="67"/>
      <c r="L998" s="67"/>
      <c r="M998" s="67"/>
      <c r="N998" s="67"/>
      <c r="O998" s="67"/>
      <c r="P998" s="67"/>
      <c r="Q998" s="67"/>
      <c r="R998" s="67"/>
    </row>
    <row r="999" spans="4:18" ht="15.75" customHeight="1">
      <c r="D999" s="94"/>
      <c r="E999" s="95"/>
      <c r="F999" s="95"/>
      <c r="G999" s="67"/>
      <c r="H999" s="67"/>
      <c r="I999" s="67"/>
      <c r="J999" s="67"/>
      <c r="K999" s="67"/>
      <c r="L999" s="67"/>
      <c r="M999" s="67"/>
      <c r="N999" s="67"/>
      <c r="O999" s="67"/>
      <c r="P999" s="67"/>
      <c r="Q999" s="67"/>
      <c r="R999" s="67"/>
    </row>
    <row r="1000" spans="4:18" ht="15.75" customHeight="1">
      <c r="D1000" s="94"/>
      <c r="E1000" s="95"/>
      <c r="F1000" s="95"/>
      <c r="G1000" s="67"/>
      <c r="H1000" s="67"/>
      <c r="I1000" s="67"/>
      <c r="J1000" s="67"/>
      <c r="K1000" s="67"/>
      <c r="L1000" s="67"/>
      <c r="M1000" s="67"/>
      <c r="N1000" s="67"/>
      <c r="O1000" s="67"/>
      <c r="P1000" s="67"/>
      <c r="Q1000" s="67"/>
      <c r="R1000" s="67"/>
    </row>
    <row r="1001" spans="4:18" ht="15.75" customHeight="1">
      <c r="D1001" s="94"/>
      <c r="E1001" s="95"/>
      <c r="F1001" s="95"/>
      <c r="G1001" s="67"/>
      <c r="H1001" s="67"/>
      <c r="I1001" s="67"/>
      <c r="J1001" s="67"/>
      <c r="K1001" s="67"/>
      <c r="L1001" s="67"/>
      <c r="M1001" s="67"/>
      <c r="N1001" s="67"/>
      <c r="O1001" s="67"/>
      <c r="P1001" s="67"/>
      <c r="Q1001" s="67"/>
      <c r="R1001" s="67"/>
    </row>
    <row r="1002" spans="4:18" ht="15.75" customHeight="1">
      <c r="D1002" s="94"/>
      <c r="E1002" s="95"/>
      <c r="F1002" s="95"/>
      <c r="G1002" s="67"/>
      <c r="H1002" s="67"/>
      <c r="I1002" s="67"/>
      <c r="J1002" s="67"/>
      <c r="K1002" s="67"/>
      <c r="L1002" s="67"/>
      <c r="M1002" s="67"/>
      <c r="N1002" s="67"/>
      <c r="O1002" s="67"/>
      <c r="P1002" s="67"/>
      <c r="Q1002" s="67"/>
      <c r="R1002" s="67"/>
    </row>
    <row r="1003" spans="4:18" ht="15.75" customHeight="1">
      <c r="D1003" s="94"/>
      <c r="E1003" s="95"/>
      <c r="F1003" s="95"/>
      <c r="G1003" s="67"/>
      <c r="H1003" s="67"/>
      <c r="I1003" s="67"/>
      <c r="J1003" s="67"/>
      <c r="K1003" s="67"/>
      <c r="L1003" s="67"/>
      <c r="M1003" s="67"/>
      <c r="N1003" s="67"/>
      <c r="O1003" s="67"/>
      <c r="P1003" s="67"/>
      <c r="Q1003" s="67"/>
      <c r="R1003" s="67"/>
    </row>
    <row r="1004" spans="4:18" ht="15.75" customHeight="1">
      <c r="D1004" s="94"/>
      <c r="E1004" s="95"/>
      <c r="F1004" s="95"/>
      <c r="G1004" s="67"/>
      <c r="H1004" s="67"/>
      <c r="I1004" s="67"/>
      <c r="J1004" s="67"/>
      <c r="K1004" s="67"/>
      <c r="L1004" s="67"/>
      <c r="M1004" s="67"/>
      <c r="N1004" s="67"/>
      <c r="O1004" s="67"/>
      <c r="P1004" s="67"/>
      <c r="Q1004" s="67"/>
      <c r="R1004" s="67"/>
    </row>
    <row r="1005" spans="4:18" ht="15.75" customHeight="1">
      <c r="D1005" s="94"/>
      <c r="E1005" s="95"/>
      <c r="F1005" s="95"/>
      <c r="G1005" s="67"/>
      <c r="H1005" s="67"/>
      <c r="I1005" s="67"/>
      <c r="J1005" s="67"/>
      <c r="K1005" s="67"/>
      <c r="L1005" s="67"/>
      <c r="M1005" s="67"/>
      <c r="N1005" s="67"/>
      <c r="O1005" s="67"/>
      <c r="P1005" s="67"/>
      <c r="Q1005" s="67"/>
      <c r="R1005" s="67"/>
    </row>
    <row r="1006" spans="4:18" ht="15.75" customHeight="1">
      <c r="D1006" s="94"/>
      <c r="E1006" s="95"/>
      <c r="F1006" s="95"/>
      <c r="G1006" s="67"/>
      <c r="H1006" s="67"/>
      <c r="I1006" s="67"/>
      <c r="J1006" s="67"/>
      <c r="K1006" s="67"/>
      <c r="L1006" s="67"/>
      <c r="M1006" s="67"/>
      <c r="N1006" s="67"/>
      <c r="O1006" s="67"/>
      <c r="P1006" s="67"/>
      <c r="Q1006" s="67"/>
      <c r="R1006" s="67"/>
    </row>
  </sheetData>
  <sheetProtection formatCells="0" formatColumns="0" formatRows="0" insertColumns="0" insertRows="0" deleteColumns="0" deleteRows="0" sort="0"/>
  <mergeCells count="3">
    <mergeCell ref="C4:E4"/>
    <mergeCell ref="C5:E5"/>
    <mergeCell ref="C3:E3"/>
  </mergeCells>
  <dataValidations count="3">
    <dataValidation type="list" allowBlank="1" sqref="D9:D505" xr:uid="{00000000-0002-0000-0000-000000000000}">
      <formula1>"19 or lower,20-34,35-49,50-64,65 or higher,Did not specify"</formula1>
    </dataValidation>
    <dataValidation type="list" allowBlank="1" sqref="E9:E505" xr:uid="{00000000-0002-0000-0000-000001000000}">
      <formula1>"M,F,Did not specify"</formula1>
    </dataValidation>
    <dataValidation type="list" allowBlank="1" sqref="F9:F505" xr:uid="{00000000-0002-0000-0000-000003000000}">
      <formula1>"Citizen,Business,Government, Did not specify"</formula1>
    </dataValidation>
  </dataValidations>
  <pageMargins left="0.7" right="0.7" top="0.75" bottom="0.75" header="0" footer="0"/>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ErrorMessage="1" xr:uid="{4EC20208-5276-4ECF-AA6A-FCE35A31430C}">
          <x14:formula1>
            <xm:f>DropList!$J$10:$J$14</xm:f>
          </x14:formula1>
          <xm:sqref>H9:H505</xm:sqref>
        </x14:dataValidation>
        <x14:dataValidation type="list" allowBlank="1" showErrorMessage="1" xr:uid="{1A9818EF-7A24-4F8D-BBE2-3F8A6E703E39}">
          <x14:formula1>
            <xm:f>DropList!$J$19:$J$22</xm:f>
          </x14:formula1>
          <xm:sqref>I9:I505</xm:sqref>
        </x14:dataValidation>
        <x14:dataValidation type="list" allowBlank="1" showErrorMessage="1" xr:uid="{031C1920-B6CA-4B59-B448-9C28B9982A10}">
          <x14:formula1>
            <xm:f>DropList!$R$2:$R$7</xm:f>
          </x14:formula1>
          <xm:sqref>J9:R505</xm:sqref>
        </x14:dataValidation>
        <x14:dataValidation type="list" showErrorMessage="1" xr:uid="{714C9FDD-8823-46F5-97C6-9C2BAEACB6B5}">
          <x14:formula1>
            <xm:f>DropList!$J$2:$J$6</xm:f>
          </x14:formula1>
          <xm:sqref>G9:G505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B8392-B304-4E5A-BC56-63DB39E492C6}">
  <dimension ref="B2:N1006"/>
  <sheetViews>
    <sheetView showGridLines="0" zoomScale="70" zoomScaleNormal="70" workbookViewId="0">
      <selection activeCell="C5" sqref="C5:E5"/>
    </sheetView>
  </sheetViews>
  <sheetFormatPr defaultColWidth="11.25" defaultRowHeight="15.6"/>
  <cols>
    <col min="1" max="1" width="3.25" customWidth="1"/>
    <col min="2" max="2" width="8.75" style="31" customWidth="1"/>
    <col min="3" max="3" width="18" customWidth="1"/>
    <col min="4" max="4" width="15.625" customWidth="1"/>
    <col min="5" max="5" width="11.875" customWidth="1"/>
    <col min="6" max="6" width="16" customWidth="1"/>
    <col min="7" max="8" width="18.25" style="46" customWidth="1"/>
    <col min="9" max="9" width="15.25" style="46" customWidth="1"/>
    <col min="10" max="10" width="21" style="46" customWidth="1"/>
    <col min="11" max="14" width="16.125" customWidth="1"/>
    <col min="15" max="23" width="10.625" customWidth="1"/>
  </cols>
  <sheetData>
    <row r="2" spans="2:14" ht="15" customHeight="1">
      <c r="B2" s="125" t="s">
        <v>29</v>
      </c>
    </row>
    <row r="3" spans="2:14" ht="15" customHeight="1">
      <c r="B3" s="152" t="s">
        <v>32</v>
      </c>
      <c r="C3" s="150" t="str">
        <f>Report!A7</f>
        <v>[Bureau/Office]</v>
      </c>
      <c r="D3" s="150"/>
      <c r="E3" s="150"/>
    </row>
    <row r="4" spans="2:14" ht="15" customHeight="1">
      <c r="B4" s="152" t="s">
        <v>34</v>
      </c>
      <c r="C4" s="150">
        <f>Report!B10</f>
        <v>0</v>
      </c>
      <c r="D4" s="150"/>
      <c r="E4" s="150"/>
    </row>
    <row r="5" spans="2:14" ht="15" customHeight="1">
      <c r="B5" s="152" t="s">
        <v>37</v>
      </c>
      <c r="C5" s="150" t="str">
        <f>Report!A8</f>
        <v>For the period [Month, DD, YYYY]</v>
      </c>
      <c r="D5" s="150"/>
      <c r="E5" s="150"/>
    </row>
    <row r="6" spans="2:14" ht="15.75" customHeight="1">
      <c r="D6" s="1"/>
      <c r="E6" s="2"/>
      <c r="F6" s="2"/>
      <c r="G6" s="67"/>
      <c r="H6" s="67"/>
      <c r="I6" s="67"/>
      <c r="J6" s="67"/>
      <c r="K6" s="3"/>
      <c r="L6" s="3"/>
      <c r="M6" s="3"/>
      <c r="N6" s="3"/>
    </row>
    <row r="7" spans="2:14" ht="15.75" customHeight="1">
      <c r="B7" s="1"/>
      <c r="D7" s="1"/>
      <c r="E7" s="2"/>
      <c r="F7" s="2"/>
      <c r="G7" s="67"/>
      <c r="H7" s="67"/>
      <c r="I7" s="67"/>
      <c r="J7" s="67"/>
      <c r="K7" s="3"/>
      <c r="L7" s="3"/>
      <c r="M7" s="3"/>
      <c r="N7" s="3"/>
    </row>
    <row r="8" spans="2:14" s="44" customFormat="1" ht="24.6" customHeight="1">
      <c r="B8" s="123" t="s">
        <v>38</v>
      </c>
      <c r="C8" s="124" t="s">
        <v>39</v>
      </c>
      <c r="D8" s="124" t="s">
        <v>40</v>
      </c>
      <c r="E8" s="124" t="s">
        <v>41</v>
      </c>
      <c r="F8" s="124" t="s">
        <v>42</v>
      </c>
      <c r="G8" s="68" t="s">
        <v>96</v>
      </c>
      <c r="H8" s="68" t="s">
        <v>97</v>
      </c>
      <c r="I8" s="68" t="s">
        <v>98</v>
      </c>
      <c r="J8" s="68" t="s">
        <v>99</v>
      </c>
      <c r="K8" s="39" t="s">
        <v>100</v>
      </c>
      <c r="L8" s="70" t="s">
        <v>101</v>
      </c>
      <c r="M8" s="39" t="s">
        <v>102</v>
      </c>
      <c r="N8" s="70" t="s">
        <v>103</v>
      </c>
    </row>
    <row r="9" spans="2:14" ht="15.75" customHeight="1">
      <c r="B9" s="58">
        <f>'Tabulation Sheet'!B9</f>
        <v>1</v>
      </c>
      <c r="C9" s="66" t="str">
        <f>'Tabulation Sheet'!C9</f>
        <v>Client 1</v>
      </c>
      <c r="D9" s="4" t="str">
        <f>'Tabulation Sheet'!D9</f>
        <v>20-34</v>
      </c>
      <c r="E9" s="4" t="str">
        <f>'Tabulation Sheet'!E9</f>
        <v>M</v>
      </c>
      <c r="F9" s="4" t="str">
        <f>'Tabulation Sheet'!F9</f>
        <v>Citizen</v>
      </c>
      <c r="G9" s="69">
        <v>4</v>
      </c>
      <c r="H9" s="69">
        <v>5</v>
      </c>
      <c r="I9" s="69">
        <v>5</v>
      </c>
      <c r="J9" s="69">
        <v>5</v>
      </c>
      <c r="K9" s="5">
        <v>5</v>
      </c>
      <c r="L9" s="5">
        <v>4</v>
      </c>
      <c r="M9" s="5">
        <v>4</v>
      </c>
      <c r="N9" s="5">
        <v>4</v>
      </c>
    </row>
    <row r="10" spans="2:14" ht="15.75" customHeight="1">
      <c r="B10" s="58">
        <f>'Tabulation Sheet'!B10</f>
        <v>2</v>
      </c>
      <c r="C10" s="66" t="str">
        <f>'Tabulation Sheet'!C10</f>
        <v>Client 2</v>
      </c>
      <c r="D10" s="4" t="str">
        <f>'Tabulation Sheet'!D10</f>
        <v>19 or lower</v>
      </c>
      <c r="E10" s="4" t="str">
        <f>'Tabulation Sheet'!E10</f>
        <v>F</v>
      </c>
      <c r="F10" s="4" t="str">
        <f>'Tabulation Sheet'!F10</f>
        <v>Business</v>
      </c>
      <c r="G10" s="69">
        <v>4</v>
      </c>
      <c r="H10" s="69">
        <v>5</v>
      </c>
      <c r="I10" s="69">
        <v>5</v>
      </c>
      <c r="J10" s="69">
        <v>5</v>
      </c>
      <c r="K10" s="5">
        <v>5</v>
      </c>
      <c r="L10" s="5">
        <v>4</v>
      </c>
      <c r="M10" s="5">
        <v>4</v>
      </c>
      <c r="N10" s="5">
        <v>4</v>
      </c>
    </row>
    <row r="11" spans="2:14" ht="15.75" customHeight="1">
      <c r="B11" s="58">
        <f>'Tabulation Sheet'!B11</f>
        <v>3</v>
      </c>
      <c r="C11" s="66" t="str">
        <f>'Tabulation Sheet'!C11</f>
        <v>Client 3</v>
      </c>
      <c r="D11" s="4" t="str">
        <f>'Tabulation Sheet'!D11</f>
        <v>50-64</v>
      </c>
      <c r="E11" s="4" t="str">
        <f>'Tabulation Sheet'!E11</f>
        <v>M</v>
      </c>
      <c r="F11" s="4" t="str">
        <f>'Tabulation Sheet'!F11</f>
        <v>Citizen</v>
      </c>
      <c r="G11" s="69">
        <v>4</v>
      </c>
      <c r="H11" s="69">
        <v>5</v>
      </c>
      <c r="I11" s="69">
        <v>5</v>
      </c>
      <c r="J11" s="69">
        <v>5</v>
      </c>
      <c r="K11" s="5">
        <v>5</v>
      </c>
      <c r="L11" s="5">
        <v>4</v>
      </c>
      <c r="M11" s="5">
        <v>4</v>
      </c>
      <c r="N11" s="5">
        <v>4</v>
      </c>
    </row>
    <row r="12" spans="2:14" ht="15.75" customHeight="1">
      <c r="B12" s="58">
        <f>'Tabulation Sheet'!B12</f>
        <v>4</v>
      </c>
      <c r="C12" s="66" t="str">
        <f>'Tabulation Sheet'!C12</f>
        <v>Client 4</v>
      </c>
      <c r="D12" s="4" t="str">
        <f>'Tabulation Sheet'!D12</f>
        <v>20-34</v>
      </c>
      <c r="E12" s="4" t="str">
        <f>'Tabulation Sheet'!E12</f>
        <v>M</v>
      </c>
      <c r="F12" s="4" t="str">
        <f>'Tabulation Sheet'!F12</f>
        <v>Business</v>
      </c>
      <c r="G12" s="69">
        <v>4</v>
      </c>
      <c r="H12" s="69">
        <v>5</v>
      </c>
      <c r="I12" s="69">
        <v>5</v>
      </c>
      <c r="J12" s="69">
        <v>5</v>
      </c>
      <c r="K12" s="5">
        <v>5</v>
      </c>
      <c r="L12" s="5">
        <v>4</v>
      </c>
      <c r="M12" s="5">
        <v>4</v>
      </c>
      <c r="N12" s="5">
        <v>4</v>
      </c>
    </row>
    <row r="13" spans="2:14" ht="15.75" customHeight="1">
      <c r="B13" s="58">
        <f>'Tabulation Sheet'!B13</f>
        <v>5</v>
      </c>
      <c r="C13" s="66" t="str">
        <f>'Tabulation Sheet'!C13</f>
        <v>Client 5</v>
      </c>
      <c r="D13" s="4" t="str">
        <f>'Tabulation Sheet'!D13</f>
        <v>20-34</v>
      </c>
      <c r="E13" s="4" t="str">
        <f>'Tabulation Sheet'!E13</f>
        <v>M</v>
      </c>
      <c r="F13" s="4" t="str">
        <f>'Tabulation Sheet'!F13</f>
        <v>Citizen</v>
      </c>
      <c r="G13" s="69">
        <v>5</v>
      </c>
      <c r="H13" s="69">
        <v>5</v>
      </c>
      <c r="I13" s="69">
        <v>5</v>
      </c>
      <c r="J13" s="69">
        <v>5</v>
      </c>
      <c r="K13" s="5">
        <v>5</v>
      </c>
      <c r="L13" s="5">
        <v>5</v>
      </c>
      <c r="M13" s="5">
        <v>5</v>
      </c>
      <c r="N13" s="5">
        <v>5</v>
      </c>
    </row>
    <row r="14" spans="2:14" ht="15.75" customHeight="1">
      <c r="B14" s="58">
        <f>'Tabulation Sheet'!B14</f>
        <v>6</v>
      </c>
      <c r="C14" s="66" t="str">
        <f>'Tabulation Sheet'!C14</f>
        <v>Client 6</v>
      </c>
      <c r="D14" s="4" t="str">
        <f>'Tabulation Sheet'!D14</f>
        <v>50-64</v>
      </c>
      <c r="E14" s="4" t="str">
        <f>'Tabulation Sheet'!E14</f>
        <v>M</v>
      </c>
      <c r="F14" s="4" t="str">
        <f>'Tabulation Sheet'!F14</f>
        <v>Business</v>
      </c>
      <c r="G14" s="69">
        <v>4</v>
      </c>
      <c r="H14" s="69">
        <v>5</v>
      </c>
      <c r="I14" s="69">
        <v>5</v>
      </c>
      <c r="J14" s="69">
        <v>5</v>
      </c>
      <c r="K14" s="5">
        <v>5</v>
      </c>
      <c r="L14" s="5">
        <v>5</v>
      </c>
      <c r="M14" s="5">
        <v>5</v>
      </c>
      <c r="N14" s="5">
        <v>5</v>
      </c>
    </row>
    <row r="15" spans="2:14" ht="15.75" customHeight="1">
      <c r="B15" s="58">
        <f>'Tabulation Sheet'!B15</f>
        <v>7</v>
      </c>
      <c r="C15" s="66" t="str">
        <f>'Tabulation Sheet'!C15</f>
        <v>Client 7</v>
      </c>
      <c r="D15" s="4" t="str">
        <f>'Tabulation Sheet'!D15</f>
        <v>50-64</v>
      </c>
      <c r="E15" s="4" t="str">
        <f>'Tabulation Sheet'!E15</f>
        <v>F</v>
      </c>
      <c r="F15" s="4" t="str">
        <f>'Tabulation Sheet'!F15</f>
        <v>Business</v>
      </c>
      <c r="G15" s="69">
        <v>4</v>
      </c>
      <c r="H15" s="69">
        <v>5</v>
      </c>
      <c r="I15" s="69">
        <v>5</v>
      </c>
      <c r="J15" s="69">
        <v>5</v>
      </c>
      <c r="K15" s="5">
        <v>5</v>
      </c>
      <c r="L15" s="5">
        <v>5</v>
      </c>
      <c r="M15" s="5">
        <v>5</v>
      </c>
      <c r="N15" s="5">
        <v>5</v>
      </c>
    </row>
    <row r="16" spans="2:14" ht="15.75" customHeight="1">
      <c r="B16" s="58">
        <f>'Tabulation Sheet'!B16</f>
        <v>8</v>
      </c>
      <c r="C16" s="66" t="str">
        <f>'Tabulation Sheet'!C16</f>
        <v>Client 8</v>
      </c>
      <c r="D16" s="4" t="str">
        <f>'Tabulation Sheet'!D16</f>
        <v>35-49</v>
      </c>
      <c r="E16" s="4" t="str">
        <f>'Tabulation Sheet'!E16</f>
        <v>F</v>
      </c>
      <c r="F16" s="4" t="str">
        <f>'Tabulation Sheet'!F16</f>
        <v>Business</v>
      </c>
      <c r="G16" s="69">
        <v>4</v>
      </c>
      <c r="H16" s="69">
        <v>5</v>
      </c>
      <c r="I16" s="69">
        <v>5</v>
      </c>
      <c r="J16" s="69">
        <v>5</v>
      </c>
      <c r="K16" s="5">
        <v>5</v>
      </c>
      <c r="L16" s="5">
        <v>5</v>
      </c>
      <c r="M16" s="5">
        <v>5</v>
      </c>
      <c r="N16" s="5">
        <v>5</v>
      </c>
    </row>
    <row r="17" spans="2:14" ht="15.75" customHeight="1">
      <c r="B17" s="58">
        <f>'Tabulation Sheet'!B17</f>
        <v>9</v>
      </c>
      <c r="C17" s="66" t="str">
        <f>'Tabulation Sheet'!C17</f>
        <v>Client 9</v>
      </c>
      <c r="D17" s="4" t="str">
        <f>'Tabulation Sheet'!D17</f>
        <v>20-34</v>
      </c>
      <c r="E17" s="4" t="str">
        <f>'Tabulation Sheet'!E17</f>
        <v>F</v>
      </c>
      <c r="F17" s="4" t="str">
        <f>'Tabulation Sheet'!F17</f>
        <v>Government</v>
      </c>
      <c r="G17" s="69">
        <v>4</v>
      </c>
      <c r="H17" s="69">
        <v>5</v>
      </c>
      <c r="I17" s="69">
        <v>5</v>
      </c>
      <c r="J17" s="69">
        <v>5</v>
      </c>
      <c r="K17" s="5">
        <v>5</v>
      </c>
      <c r="L17" s="5">
        <v>5</v>
      </c>
      <c r="M17" s="5">
        <v>5</v>
      </c>
      <c r="N17" s="5">
        <v>5</v>
      </c>
    </row>
    <row r="18" spans="2:14" ht="15.75" customHeight="1">
      <c r="B18" s="58">
        <f>'Tabulation Sheet'!B18</f>
        <v>10</v>
      </c>
      <c r="C18" s="66" t="str">
        <f>'Tabulation Sheet'!C18</f>
        <v>Client 10</v>
      </c>
      <c r="D18" s="4" t="str">
        <f>'Tabulation Sheet'!D18</f>
        <v>35-49</v>
      </c>
      <c r="E18" s="4" t="str">
        <f>'Tabulation Sheet'!E18</f>
        <v>M</v>
      </c>
      <c r="F18" s="4" t="str">
        <f>'Tabulation Sheet'!F18</f>
        <v>Business</v>
      </c>
      <c r="G18" s="69">
        <v>4</v>
      </c>
      <c r="H18" s="69">
        <v>5</v>
      </c>
      <c r="I18" s="69">
        <v>5</v>
      </c>
      <c r="J18" s="69">
        <v>5</v>
      </c>
      <c r="K18" s="5">
        <v>5</v>
      </c>
      <c r="L18" s="5">
        <v>5</v>
      </c>
      <c r="M18" s="5">
        <v>5</v>
      </c>
      <c r="N18" s="5">
        <v>5</v>
      </c>
    </row>
    <row r="19" spans="2:14" ht="15.75" customHeight="1">
      <c r="B19" s="58">
        <f>'Tabulation Sheet'!B19</f>
        <v>11</v>
      </c>
      <c r="C19" s="66" t="str">
        <f>'Tabulation Sheet'!C19</f>
        <v>Client 11</v>
      </c>
      <c r="D19" s="4" t="str">
        <f>'Tabulation Sheet'!D19</f>
        <v>35-49</v>
      </c>
      <c r="E19" s="4" t="str">
        <f>'Tabulation Sheet'!E19</f>
        <v>M</v>
      </c>
      <c r="F19" s="4" t="str">
        <f>'Tabulation Sheet'!F19</f>
        <v>Business</v>
      </c>
      <c r="G19" s="69">
        <v>4</v>
      </c>
      <c r="H19" s="69">
        <v>5</v>
      </c>
      <c r="I19" s="69">
        <v>5</v>
      </c>
      <c r="J19" s="69">
        <v>5</v>
      </c>
      <c r="K19" s="5">
        <v>5</v>
      </c>
      <c r="L19" s="5">
        <v>4</v>
      </c>
      <c r="M19" s="5">
        <v>4</v>
      </c>
      <c r="N19" s="5">
        <v>4</v>
      </c>
    </row>
    <row r="20" spans="2:14" ht="15.75" customHeight="1">
      <c r="B20" s="58">
        <f>'Tabulation Sheet'!B20</f>
        <v>12</v>
      </c>
      <c r="C20" s="66" t="str">
        <f>'Tabulation Sheet'!C20</f>
        <v>Client 12</v>
      </c>
      <c r="D20" s="4" t="str">
        <f>'Tabulation Sheet'!D20</f>
        <v>Did not specify</v>
      </c>
      <c r="E20" s="4" t="str">
        <f>'Tabulation Sheet'!E20</f>
        <v>Did not specify</v>
      </c>
      <c r="F20" s="4" t="str">
        <f>'Tabulation Sheet'!F20</f>
        <v>Did not specify</v>
      </c>
      <c r="G20" s="69" t="s">
        <v>16</v>
      </c>
      <c r="H20" s="69">
        <v>5</v>
      </c>
      <c r="I20" s="69">
        <v>5</v>
      </c>
      <c r="J20" s="69">
        <v>5</v>
      </c>
      <c r="K20" s="5">
        <v>5</v>
      </c>
      <c r="L20" s="5">
        <v>4</v>
      </c>
      <c r="M20" s="5">
        <v>4</v>
      </c>
      <c r="N20" s="5">
        <v>4</v>
      </c>
    </row>
    <row r="21" spans="2:14" ht="15.75" customHeight="1">
      <c r="B21" s="58">
        <f>'Tabulation Sheet'!B21</f>
        <v>13</v>
      </c>
      <c r="C21" s="66" t="str">
        <f>'Tabulation Sheet'!C21</f>
        <v>Client 13</v>
      </c>
      <c r="D21" s="4" t="str">
        <f>'Tabulation Sheet'!D21</f>
        <v>20-34</v>
      </c>
      <c r="E21" s="4" t="str">
        <f>'Tabulation Sheet'!E21</f>
        <v>F</v>
      </c>
      <c r="F21" s="4" t="str">
        <f>'Tabulation Sheet'!F21</f>
        <v>Citizen</v>
      </c>
      <c r="G21" s="69">
        <v>4</v>
      </c>
      <c r="H21" s="69">
        <v>5</v>
      </c>
      <c r="I21" s="69">
        <v>5</v>
      </c>
      <c r="J21" s="69">
        <v>5</v>
      </c>
      <c r="K21" s="5">
        <v>5</v>
      </c>
      <c r="L21" s="5">
        <v>4</v>
      </c>
      <c r="M21" s="5">
        <v>4</v>
      </c>
      <c r="N21" s="5">
        <v>4</v>
      </c>
    </row>
    <row r="22" spans="2:14" ht="15.75" customHeight="1">
      <c r="B22" s="58">
        <f>'Tabulation Sheet'!B22</f>
        <v>14</v>
      </c>
      <c r="C22" s="66" t="str">
        <f>'Tabulation Sheet'!C22</f>
        <v>Client 14</v>
      </c>
      <c r="D22" s="4" t="str">
        <f>'Tabulation Sheet'!D22</f>
        <v>20-34</v>
      </c>
      <c r="E22" s="4" t="str">
        <f>'Tabulation Sheet'!E22</f>
        <v>M</v>
      </c>
      <c r="F22" s="4" t="str">
        <f>'Tabulation Sheet'!F22</f>
        <v>Business</v>
      </c>
      <c r="G22" s="69">
        <v>4</v>
      </c>
      <c r="H22" s="69">
        <v>5</v>
      </c>
      <c r="I22" s="69">
        <v>5</v>
      </c>
      <c r="J22" s="69">
        <v>5</v>
      </c>
      <c r="K22" s="5">
        <v>5</v>
      </c>
      <c r="L22" s="5">
        <v>4</v>
      </c>
      <c r="M22" s="5">
        <v>4</v>
      </c>
      <c r="N22" s="5">
        <v>4</v>
      </c>
    </row>
    <row r="23" spans="2:14" ht="15.75" customHeight="1">
      <c r="B23" s="58">
        <f>'Tabulation Sheet'!B23</f>
        <v>15</v>
      </c>
      <c r="C23" s="66" t="str">
        <f>'Tabulation Sheet'!C23</f>
        <v>Client 15</v>
      </c>
      <c r="D23" s="4" t="str">
        <f>'Tabulation Sheet'!D23</f>
        <v>19 or lower</v>
      </c>
      <c r="E23" s="4" t="str">
        <f>'Tabulation Sheet'!E23</f>
        <v>F</v>
      </c>
      <c r="F23" s="4" t="str">
        <f>'Tabulation Sheet'!F23</f>
        <v>Citizen</v>
      </c>
      <c r="G23" s="69">
        <v>4</v>
      </c>
      <c r="H23" s="69">
        <v>5</v>
      </c>
      <c r="I23" s="69">
        <v>5</v>
      </c>
      <c r="J23" s="69">
        <v>5</v>
      </c>
      <c r="K23" s="5">
        <v>5</v>
      </c>
      <c r="L23" s="5">
        <v>4</v>
      </c>
      <c r="M23" s="5">
        <v>4</v>
      </c>
      <c r="N23" s="5">
        <v>4</v>
      </c>
    </row>
    <row r="24" spans="2:14" ht="15.75" customHeight="1">
      <c r="B24" s="58">
        <f>'Tabulation Sheet'!B24</f>
        <v>16</v>
      </c>
      <c r="C24" s="66" t="str">
        <f>'Tabulation Sheet'!C24</f>
        <v>Client 16</v>
      </c>
      <c r="D24" s="4" t="str">
        <f>'Tabulation Sheet'!D24</f>
        <v>50-64</v>
      </c>
      <c r="E24" s="4" t="str">
        <f>'Tabulation Sheet'!E24</f>
        <v>F</v>
      </c>
      <c r="F24" s="4" t="str">
        <f>'Tabulation Sheet'!F24</f>
        <v>Government</v>
      </c>
      <c r="G24" s="69">
        <v>4</v>
      </c>
      <c r="H24" s="69">
        <v>5</v>
      </c>
      <c r="I24" s="69">
        <v>5</v>
      </c>
      <c r="J24" s="69">
        <v>5</v>
      </c>
      <c r="K24" s="5">
        <v>5</v>
      </c>
      <c r="L24" s="5">
        <v>4</v>
      </c>
      <c r="M24" s="5">
        <v>4</v>
      </c>
      <c r="N24" s="5">
        <v>4</v>
      </c>
    </row>
    <row r="25" spans="2:14" ht="15.75" customHeight="1">
      <c r="B25" s="58">
        <f>'Tabulation Sheet'!B25</f>
        <v>17</v>
      </c>
      <c r="C25" s="66" t="str">
        <f>'Tabulation Sheet'!C25</f>
        <v>Client 17</v>
      </c>
      <c r="D25" s="4" t="str">
        <f>'Tabulation Sheet'!D25</f>
        <v>20-34</v>
      </c>
      <c r="E25" s="4" t="str">
        <f>'Tabulation Sheet'!E25</f>
        <v>M</v>
      </c>
      <c r="F25" s="4" t="str">
        <f>'Tabulation Sheet'!F25</f>
        <v>Business</v>
      </c>
      <c r="G25" s="69">
        <v>4</v>
      </c>
      <c r="H25" s="69">
        <v>5</v>
      </c>
      <c r="I25" s="69">
        <v>5</v>
      </c>
      <c r="J25" s="69">
        <v>5</v>
      </c>
      <c r="K25" s="5">
        <v>5</v>
      </c>
      <c r="L25" s="5">
        <v>5</v>
      </c>
      <c r="M25" s="5">
        <v>5</v>
      </c>
      <c r="N25" s="5">
        <v>5</v>
      </c>
    </row>
    <row r="26" spans="2:14" ht="15.75" customHeight="1">
      <c r="B26" s="58">
        <f>'Tabulation Sheet'!B26</f>
        <v>18</v>
      </c>
      <c r="C26" s="66" t="str">
        <f>'Tabulation Sheet'!C26</f>
        <v>Client 18</v>
      </c>
      <c r="D26" s="4" t="str">
        <f>'Tabulation Sheet'!D26</f>
        <v>20-34</v>
      </c>
      <c r="E26" s="4" t="str">
        <f>'Tabulation Sheet'!E26</f>
        <v>M</v>
      </c>
      <c r="F26" s="4" t="str">
        <f>'Tabulation Sheet'!F26</f>
        <v>Business</v>
      </c>
      <c r="G26" s="69">
        <v>4</v>
      </c>
      <c r="H26" s="69">
        <v>5</v>
      </c>
      <c r="I26" s="69">
        <v>5</v>
      </c>
      <c r="J26" s="69">
        <v>5</v>
      </c>
      <c r="K26" s="5">
        <v>5</v>
      </c>
      <c r="L26" s="5">
        <v>5</v>
      </c>
      <c r="M26" s="5">
        <v>5</v>
      </c>
      <c r="N26" s="5">
        <v>5</v>
      </c>
    </row>
    <row r="27" spans="2:14" ht="15.75" customHeight="1">
      <c r="B27" s="58">
        <f>'Tabulation Sheet'!B27</f>
        <v>19</v>
      </c>
      <c r="C27" s="66" t="str">
        <f>'Tabulation Sheet'!C27</f>
        <v>Client 19</v>
      </c>
      <c r="D27" s="4" t="str">
        <f>'Tabulation Sheet'!D27</f>
        <v>20-34</v>
      </c>
      <c r="E27" s="4" t="str">
        <f>'Tabulation Sheet'!E27</f>
        <v>F</v>
      </c>
      <c r="F27" s="4" t="str">
        <f>'Tabulation Sheet'!F27</f>
        <v>Government</v>
      </c>
      <c r="G27" s="69">
        <v>4</v>
      </c>
      <c r="H27" s="69">
        <v>5</v>
      </c>
      <c r="I27" s="69">
        <v>5</v>
      </c>
      <c r="J27" s="69">
        <v>5</v>
      </c>
      <c r="K27" s="5">
        <v>5</v>
      </c>
      <c r="L27" s="5">
        <v>5</v>
      </c>
      <c r="M27" s="5">
        <v>5</v>
      </c>
      <c r="N27" s="5">
        <v>5</v>
      </c>
    </row>
    <row r="28" spans="2:14" ht="15.75" customHeight="1">
      <c r="B28" s="58">
        <f>'Tabulation Sheet'!B28</f>
        <v>20</v>
      </c>
      <c r="C28" s="66" t="str">
        <f>'Tabulation Sheet'!C28</f>
        <v>Client 20</v>
      </c>
      <c r="D28" s="4" t="str">
        <f>'Tabulation Sheet'!D28</f>
        <v>20-34</v>
      </c>
      <c r="E28" s="4" t="str">
        <f>'Tabulation Sheet'!E28</f>
        <v>M</v>
      </c>
      <c r="F28" s="4" t="str">
        <f>'Tabulation Sheet'!F28</f>
        <v>Business</v>
      </c>
      <c r="G28" s="69">
        <v>4</v>
      </c>
      <c r="H28" s="69">
        <v>5</v>
      </c>
      <c r="I28" s="69">
        <v>5</v>
      </c>
      <c r="J28" s="69">
        <v>5</v>
      </c>
      <c r="K28" s="5">
        <v>5</v>
      </c>
      <c r="L28" s="5">
        <v>5</v>
      </c>
      <c r="M28" s="5">
        <v>5</v>
      </c>
      <c r="N28" s="5">
        <v>5</v>
      </c>
    </row>
    <row r="29" spans="2:14" ht="15.75" customHeight="1">
      <c r="B29" s="58">
        <f>'Tabulation Sheet'!B29</f>
        <v>21</v>
      </c>
      <c r="C29" s="66" t="str">
        <f>'Tabulation Sheet'!C29</f>
        <v>Client 21</v>
      </c>
      <c r="D29" s="4" t="str">
        <f>'Tabulation Sheet'!D29</f>
        <v>50-64</v>
      </c>
      <c r="E29" s="4" t="str">
        <f>'Tabulation Sheet'!E29</f>
        <v>M</v>
      </c>
      <c r="F29" s="4" t="str">
        <f>'Tabulation Sheet'!F29</f>
        <v>Government</v>
      </c>
      <c r="G29" s="69">
        <v>4</v>
      </c>
      <c r="H29" s="69">
        <v>5</v>
      </c>
      <c r="I29" s="69">
        <v>5</v>
      </c>
      <c r="J29" s="69">
        <v>5</v>
      </c>
      <c r="K29" s="5">
        <v>5</v>
      </c>
      <c r="L29" s="5">
        <v>5</v>
      </c>
      <c r="M29" s="5">
        <v>5</v>
      </c>
      <c r="N29" s="5">
        <v>5</v>
      </c>
    </row>
    <row r="30" spans="2:14" ht="15.75" customHeight="1">
      <c r="B30" s="58">
        <f>'Tabulation Sheet'!B30</f>
        <v>22</v>
      </c>
      <c r="C30" s="66" t="str">
        <f>'Tabulation Sheet'!C30</f>
        <v>Client 22</v>
      </c>
      <c r="D30" s="4" t="str">
        <f>'Tabulation Sheet'!D30</f>
        <v>35-49</v>
      </c>
      <c r="E30" s="4" t="str">
        <f>'Tabulation Sheet'!E30</f>
        <v>M</v>
      </c>
      <c r="F30" s="4" t="str">
        <f>'Tabulation Sheet'!F30</f>
        <v>Citizen</v>
      </c>
      <c r="G30" s="69">
        <v>4</v>
      </c>
      <c r="H30" s="69">
        <v>5</v>
      </c>
      <c r="I30" s="69">
        <v>5</v>
      </c>
      <c r="J30" s="69">
        <v>5</v>
      </c>
      <c r="K30" s="5">
        <v>5</v>
      </c>
      <c r="L30" s="5">
        <v>5</v>
      </c>
      <c r="M30" s="5">
        <v>5</v>
      </c>
      <c r="N30" s="5">
        <v>5</v>
      </c>
    </row>
    <row r="31" spans="2:14" ht="15.75" customHeight="1">
      <c r="B31" s="58">
        <f>'Tabulation Sheet'!B31</f>
        <v>23</v>
      </c>
      <c r="C31" s="66" t="str">
        <f>'Tabulation Sheet'!C31</f>
        <v>Client 23</v>
      </c>
      <c r="D31" s="4" t="str">
        <f>'Tabulation Sheet'!D31</f>
        <v>35-49</v>
      </c>
      <c r="E31" s="4" t="str">
        <f>'Tabulation Sheet'!E31</f>
        <v>M</v>
      </c>
      <c r="F31" s="4" t="str">
        <f>'Tabulation Sheet'!F31</f>
        <v>Business</v>
      </c>
      <c r="G31" s="69">
        <v>4</v>
      </c>
      <c r="H31" s="69">
        <v>5</v>
      </c>
      <c r="I31" s="69">
        <v>5</v>
      </c>
      <c r="J31" s="69">
        <v>5</v>
      </c>
      <c r="K31" s="5">
        <v>5</v>
      </c>
      <c r="L31" s="5">
        <v>5</v>
      </c>
      <c r="M31" s="5">
        <v>5</v>
      </c>
      <c r="N31" s="5">
        <v>5</v>
      </c>
    </row>
    <row r="32" spans="2:14" ht="15.75" customHeight="1">
      <c r="B32" s="58">
        <f>'Tabulation Sheet'!B32</f>
        <v>24</v>
      </c>
      <c r="C32" s="66" t="str">
        <f>'Tabulation Sheet'!C32</f>
        <v>Client 24</v>
      </c>
      <c r="D32" s="4" t="str">
        <f>'Tabulation Sheet'!D32</f>
        <v>20-34</v>
      </c>
      <c r="E32" s="4" t="str">
        <f>'Tabulation Sheet'!E32</f>
        <v>M</v>
      </c>
      <c r="F32" s="4" t="str">
        <f>'Tabulation Sheet'!F32</f>
        <v>Business</v>
      </c>
      <c r="G32" s="69">
        <v>4</v>
      </c>
      <c r="H32" s="69">
        <v>5</v>
      </c>
      <c r="I32" s="69">
        <v>5</v>
      </c>
      <c r="J32" s="69">
        <v>5</v>
      </c>
      <c r="K32" s="5">
        <v>5</v>
      </c>
      <c r="L32" s="5">
        <v>5</v>
      </c>
      <c r="M32" s="5">
        <v>5</v>
      </c>
      <c r="N32" s="5">
        <v>5</v>
      </c>
    </row>
    <row r="33" spans="2:14" ht="15.75" customHeight="1">
      <c r="B33" s="58">
        <f>'Tabulation Sheet'!B33</f>
        <v>25</v>
      </c>
      <c r="C33" s="66" t="str">
        <f>'Tabulation Sheet'!C33</f>
        <v>Client 25</v>
      </c>
      <c r="D33" s="4" t="str">
        <f>'Tabulation Sheet'!D33</f>
        <v>35-49</v>
      </c>
      <c r="E33" s="4" t="str">
        <f>'Tabulation Sheet'!E33</f>
        <v>M</v>
      </c>
      <c r="F33" s="4" t="str">
        <f>'Tabulation Sheet'!F33</f>
        <v>Business</v>
      </c>
      <c r="G33" s="69">
        <v>3</v>
      </c>
      <c r="H33" s="69">
        <v>5</v>
      </c>
      <c r="I33" s="69">
        <v>5</v>
      </c>
      <c r="J33" s="69">
        <v>5</v>
      </c>
      <c r="K33" s="5">
        <v>5</v>
      </c>
      <c r="L33" s="5">
        <v>5</v>
      </c>
      <c r="M33" s="5">
        <v>5</v>
      </c>
      <c r="N33" s="5">
        <v>5</v>
      </c>
    </row>
    <row r="34" spans="2:14" ht="15.75" customHeight="1">
      <c r="B34" s="58">
        <f>'Tabulation Sheet'!B34</f>
        <v>26</v>
      </c>
      <c r="C34" s="66" t="str">
        <f>'Tabulation Sheet'!C34</f>
        <v>Client 26</v>
      </c>
      <c r="D34" s="4" t="str">
        <f>'Tabulation Sheet'!D34</f>
        <v>35-49</v>
      </c>
      <c r="E34" s="4" t="str">
        <f>'Tabulation Sheet'!E34</f>
        <v>F</v>
      </c>
      <c r="F34" s="4" t="str">
        <f>'Tabulation Sheet'!F34</f>
        <v>Government</v>
      </c>
      <c r="G34" s="69">
        <v>3</v>
      </c>
      <c r="H34" s="69">
        <v>5</v>
      </c>
      <c r="I34" s="69">
        <v>5</v>
      </c>
      <c r="J34" s="69">
        <v>5</v>
      </c>
      <c r="K34" s="5">
        <v>5</v>
      </c>
      <c r="L34" s="5">
        <v>5</v>
      </c>
      <c r="M34" s="5">
        <v>5</v>
      </c>
      <c r="N34" s="5">
        <v>5</v>
      </c>
    </row>
    <row r="35" spans="2:14" ht="15.75" customHeight="1">
      <c r="B35" s="58">
        <f>'Tabulation Sheet'!B35</f>
        <v>27</v>
      </c>
      <c r="C35" s="66" t="str">
        <f>'Tabulation Sheet'!C35</f>
        <v>Client 27</v>
      </c>
      <c r="D35" s="4" t="str">
        <f>'Tabulation Sheet'!D35</f>
        <v>35-49</v>
      </c>
      <c r="E35" s="4" t="str">
        <f>'Tabulation Sheet'!E35</f>
        <v>M</v>
      </c>
      <c r="F35" s="4" t="str">
        <f>'Tabulation Sheet'!F35</f>
        <v>Business</v>
      </c>
      <c r="G35" s="69">
        <v>3</v>
      </c>
      <c r="H35" s="69">
        <v>5</v>
      </c>
      <c r="I35" s="69">
        <v>5</v>
      </c>
      <c r="J35" s="69">
        <v>5</v>
      </c>
      <c r="K35" s="5">
        <v>5</v>
      </c>
      <c r="L35" s="5">
        <v>5</v>
      </c>
      <c r="M35" s="5">
        <v>5</v>
      </c>
      <c r="N35" s="5">
        <v>5</v>
      </c>
    </row>
    <row r="36" spans="2:14" ht="15.75" customHeight="1">
      <c r="B36" s="58">
        <f>'Tabulation Sheet'!B36</f>
        <v>28</v>
      </c>
      <c r="C36" s="66" t="str">
        <f>'Tabulation Sheet'!C36</f>
        <v>Client 28</v>
      </c>
      <c r="D36" s="4" t="str">
        <f>'Tabulation Sheet'!D36</f>
        <v>50-64</v>
      </c>
      <c r="E36" s="4" t="str">
        <f>'Tabulation Sheet'!E36</f>
        <v>F</v>
      </c>
      <c r="F36" s="4" t="str">
        <f>'Tabulation Sheet'!F36</f>
        <v>Business</v>
      </c>
      <c r="G36" s="69">
        <v>3</v>
      </c>
      <c r="H36" s="69">
        <v>5</v>
      </c>
      <c r="I36" s="69">
        <v>5</v>
      </c>
      <c r="J36" s="69">
        <v>5</v>
      </c>
      <c r="K36" s="5">
        <v>5</v>
      </c>
      <c r="L36" s="5">
        <v>5</v>
      </c>
      <c r="M36" s="5">
        <v>5</v>
      </c>
      <c r="N36" s="5">
        <v>5</v>
      </c>
    </row>
    <row r="37" spans="2:14" ht="15.75" customHeight="1">
      <c r="B37" s="58">
        <f>'Tabulation Sheet'!B37</f>
        <v>29</v>
      </c>
      <c r="C37" s="66" t="str">
        <f>'Tabulation Sheet'!C37</f>
        <v>Client 29</v>
      </c>
      <c r="D37" s="4" t="str">
        <f>'Tabulation Sheet'!D37</f>
        <v>35-49</v>
      </c>
      <c r="E37" s="4" t="str">
        <f>'Tabulation Sheet'!E37</f>
        <v>F</v>
      </c>
      <c r="F37" s="4" t="str">
        <f>'Tabulation Sheet'!F37</f>
        <v>Business</v>
      </c>
      <c r="G37" s="69">
        <v>5</v>
      </c>
      <c r="H37" s="69">
        <v>5</v>
      </c>
      <c r="I37" s="69">
        <v>5</v>
      </c>
      <c r="J37" s="69">
        <v>5</v>
      </c>
      <c r="K37" s="5">
        <v>5</v>
      </c>
      <c r="L37" s="5">
        <v>5</v>
      </c>
      <c r="M37" s="5">
        <v>5</v>
      </c>
      <c r="N37" s="5">
        <v>5</v>
      </c>
    </row>
    <row r="38" spans="2:14" ht="15.75" customHeight="1">
      <c r="B38" s="58">
        <f>'Tabulation Sheet'!B38</f>
        <v>30</v>
      </c>
      <c r="C38" s="66" t="str">
        <f>'Tabulation Sheet'!C38</f>
        <v>Client 30</v>
      </c>
      <c r="D38" s="4" t="str">
        <f>'Tabulation Sheet'!D38</f>
        <v>20-34</v>
      </c>
      <c r="E38" s="4" t="str">
        <f>'Tabulation Sheet'!E38</f>
        <v>F</v>
      </c>
      <c r="F38" s="4" t="str">
        <f>'Tabulation Sheet'!F38</f>
        <v>Business</v>
      </c>
      <c r="G38" s="69">
        <v>5</v>
      </c>
      <c r="H38" s="69">
        <v>5</v>
      </c>
      <c r="I38" s="69">
        <v>5</v>
      </c>
      <c r="J38" s="69">
        <v>5</v>
      </c>
      <c r="K38" s="5">
        <v>5</v>
      </c>
      <c r="L38" s="5">
        <v>5</v>
      </c>
      <c r="M38" s="5">
        <v>5</v>
      </c>
      <c r="N38" s="5">
        <v>5</v>
      </c>
    </row>
    <row r="39" spans="2:14" ht="15.75" customHeight="1">
      <c r="B39" s="58">
        <f>'Tabulation Sheet'!B39</f>
        <v>31</v>
      </c>
      <c r="C39" s="66" t="str">
        <f>'Tabulation Sheet'!C39</f>
        <v>Client 31</v>
      </c>
      <c r="D39" s="4" t="str">
        <f>'Tabulation Sheet'!D39</f>
        <v>20-34</v>
      </c>
      <c r="E39" s="4" t="str">
        <f>'Tabulation Sheet'!E39</f>
        <v>F</v>
      </c>
      <c r="F39" s="4" t="str">
        <f>'Tabulation Sheet'!F39</f>
        <v>Government</v>
      </c>
      <c r="G39" s="69">
        <v>5</v>
      </c>
      <c r="H39" s="69">
        <v>5</v>
      </c>
      <c r="I39" s="69">
        <v>5</v>
      </c>
      <c r="J39" s="69">
        <v>5</v>
      </c>
      <c r="K39" s="5">
        <v>5</v>
      </c>
      <c r="L39" s="5">
        <v>5</v>
      </c>
      <c r="M39" s="5">
        <v>5</v>
      </c>
      <c r="N39" s="5">
        <v>5</v>
      </c>
    </row>
    <row r="40" spans="2:14" ht="15.75" customHeight="1">
      <c r="B40" s="58">
        <f>'Tabulation Sheet'!B40</f>
        <v>0</v>
      </c>
      <c r="C40" s="66">
        <f>'Tabulation Sheet'!C40</f>
        <v>0</v>
      </c>
      <c r="D40" s="4">
        <f>'Tabulation Sheet'!D40</f>
        <v>0</v>
      </c>
      <c r="E40" s="4">
        <f>'Tabulation Sheet'!E40</f>
        <v>0</v>
      </c>
      <c r="F40" s="4">
        <f>'Tabulation Sheet'!F40</f>
        <v>0</v>
      </c>
      <c r="G40" s="69"/>
      <c r="H40" s="69"/>
      <c r="I40" s="69"/>
      <c r="J40" s="69"/>
      <c r="K40" s="5"/>
      <c r="L40" s="5"/>
      <c r="M40" s="5"/>
      <c r="N40" s="5"/>
    </row>
    <row r="41" spans="2:14" ht="15.75" customHeight="1">
      <c r="B41" s="58">
        <f>'Tabulation Sheet'!B41</f>
        <v>0</v>
      </c>
      <c r="C41" s="66">
        <f>'Tabulation Sheet'!C41</f>
        <v>0</v>
      </c>
      <c r="D41" s="4">
        <f>'Tabulation Sheet'!D41</f>
        <v>0</v>
      </c>
      <c r="E41" s="4">
        <f>'Tabulation Sheet'!E41</f>
        <v>0</v>
      </c>
      <c r="F41" s="4">
        <f>'Tabulation Sheet'!F41</f>
        <v>0</v>
      </c>
      <c r="G41" s="69"/>
      <c r="H41" s="69"/>
      <c r="I41" s="69"/>
      <c r="J41" s="69"/>
      <c r="K41" s="5"/>
      <c r="L41" s="5"/>
      <c r="M41" s="5"/>
      <c r="N41" s="5"/>
    </row>
    <row r="42" spans="2:14" ht="15.75" customHeight="1">
      <c r="B42" s="58">
        <f>'Tabulation Sheet'!B42</f>
        <v>0</v>
      </c>
      <c r="C42" s="66">
        <f>'Tabulation Sheet'!C42</f>
        <v>0</v>
      </c>
      <c r="D42" s="4">
        <f>'Tabulation Sheet'!D42</f>
        <v>0</v>
      </c>
      <c r="E42" s="4">
        <f>'Tabulation Sheet'!E42</f>
        <v>0</v>
      </c>
      <c r="F42" s="4">
        <f>'Tabulation Sheet'!F42</f>
        <v>0</v>
      </c>
      <c r="G42" s="69"/>
      <c r="H42" s="69"/>
      <c r="I42" s="69"/>
      <c r="J42" s="69"/>
      <c r="K42" s="5"/>
      <c r="L42" s="5"/>
      <c r="M42" s="5"/>
      <c r="N42" s="5"/>
    </row>
    <row r="43" spans="2:14" ht="15.75" customHeight="1">
      <c r="B43" s="58">
        <f>'Tabulation Sheet'!B43</f>
        <v>0</v>
      </c>
      <c r="C43" s="66">
        <f>'Tabulation Sheet'!C43</f>
        <v>0</v>
      </c>
      <c r="D43" s="4">
        <f>'Tabulation Sheet'!D43</f>
        <v>0</v>
      </c>
      <c r="E43" s="4">
        <f>'Tabulation Sheet'!E43</f>
        <v>0</v>
      </c>
      <c r="F43" s="4">
        <f>'Tabulation Sheet'!F43</f>
        <v>0</v>
      </c>
      <c r="G43" s="69"/>
      <c r="H43" s="69"/>
      <c r="I43" s="69"/>
      <c r="J43" s="69"/>
      <c r="K43" s="5"/>
      <c r="L43" s="5"/>
      <c r="M43" s="5"/>
      <c r="N43" s="5"/>
    </row>
    <row r="44" spans="2:14" ht="15.75" customHeight="1">
      <c r="B44" s="58">
        <f>'Tabulation Sheet'!B44</f>
        <v>0</v>
      </c>
      <c r="C44" s="66">
        <f>'Tabulation Sheet'!C44</f>
        <v>0</v>
      </c>
      <c r="D44" s="4">
        <f>'Tabulation Sheet'!D44</f>
        <v>0</v>
      </c>
      <c r="E44" s="4">
        <f>'Tabulation Sheet'!E44</f>
        <v>0</v>
      </c>
      <c r="F44" s="4">
        <f>'Tabulation Sheet'!F44</f>
        <v>0</v>
      </c>
      <c r="G44" s="69"/>
      <c r="H44" s="69"/>
      <c r="I44" s="69"/>
      <c r="J44" s="69"/>
      <c r="K44" s="5"/>
      <c r="L44" s="5"/>
      <c r="M44" s="5"/>
      <c r="N44" s="5"/>
    </row>
    <row r="45" spans="2:14" ht="15.75" customHeight="1">
      <c r="B45" s="58">
        <f>'Tabulation Sheet'!B45</f>
        <v>0</v>
      </c>
      <c r="C45" s="66">
        <f>'Tabulation Sheet'!C45</f>
        <v>0</v>
      </c>
      <c r="D45" s="4">
        <f>'Tabulation Sheet'!D45</f>
        <v>0</v>
      </c>
      <c r="E45" s="4">
        <f>'Tabulation Sheet'!E45</f>
        <v>0</v>
      </c>
      <c r="F45" s="4">
        <f>'Tabulation Sheet'!F45</f>
        <v>0</v>
      </c>
      <c r="G45" s="69"/>
      <c r="H45" s="69"/>
      <c r="I45" s="69"/>
      <c r="J45" s="69"/>
      <c r="K45" s="5"/>
      <c r="L45" s="5"/>
      <c r="M45" s="5"/>
      <c r="N45" s="5"/>
    </row>
    <row r="46" spans="2:14" ht="15.75" customHeight="1">
      <c r="B46" s="58">
        <f>'Tabulation Sheet'!B46</f>
        <v>0</v>
      </c>
      <c r="C46" s="66">
        <f>'Tabulation Sheet'!C46</f>
        <v>0</v>
      </c>
      <c r="D46" s="4">
        <f>'Tabulation Sheet'!D46</f>
        <v>0</v>
      </c>
      <c r="E46" s="4">
        <f>'Tabulation Sheet'!E46</f>
        <v>0</v>
      </c>
      <c r="F46" s="4">
        <f>'Tabulation Sheet'!F46</f>
        <v>0</v>
      </c>
      <c r="G46" s="69"/>
      <c r="H46" s="69"/>
      <c r="I46" s="69"/>
      <c r="J46" s="69"/>
      <c r="K46" s="5"/>
      <c r="L46" s="5"/>
      <c r="M46" s="5"/>
      <c r="N46" s="5"/>
    </row>
    <row r="47" spans="2:14" ht="15.75" customHeight="1">
      <c r="B47" s="58">
        <f>'Tabulation Sheet'!B47</f>
        <v>0</v>
      </c>
      <c r="C47" s="66">
        <f>'Tabulation Sheet'!C47</f>
        <v>0</v>
      </c>
      <c r="D47" s="4">
        <f>'Tabulation Sheet'!D47</f>
        <v>0</v>
      </c>
      <c r="E47" s="4">
        <f>'Tabulation Sheet'!E47</f>
        <v>0</v>
      </c>
      <c r="F47" s="4">
        <f>'Tabulation Sheet'!F47</f>
        <v>0</v>
      </c>
      <c r="G47" s="69"/>
      <c r="H47" s="69"/>
      <c r="I47" s="69"/>
      <c r="J47" s="69"/>
      <c r="K47" s="5"/>
      <c r="L47" s="5"/>
      <c r="M47" s="5"/>
      <c r="N47" s="5"/>
    </row>
    <row r="48" spans="2:14" ht="15.75" customHeight="1">
      <c r="B48" s="58">
        <f>'Tabulation Sheet'!B48</f>
        <v>0</v>
      </c>
      <c r="C48" s="66">
        <f>'Tabulation Sheet'!C48</f>
        <v>0</v>
      </c>
      <c r="D48" s="4">
        <f>'Tabulation Sheet'!D48</f>
        <v>0</v>
      </c>
      <c r="E48" s="4">
        <f>'Tabulation Sheet'!E48</f>
        <v>0</v>
      </c>
      <c r="F48" s="4">
        <f>'Tabulation Sheet'!F48</f>
        <v>0</v>
      </c>
      <c r="G48" s="69"/>
      <c r="H48" s="69"/>
      <c r="I48" s="69"/>
      <c r="J48" s="69"/>
      <c r="K48" s="5"/>
      <c r="L48" s="5"/>
      <c r="M48" s="5"/>
      <c r="N48" s="5"/>
    </row>
    <row r="49" spans="2:14" ht="15.75" customHeight="1">
      <c r="B49" s="58">
        <f>'Tabulation Sheet'!B49</f>
        <v>0</v>
      </c>
      <c r="C49" s="66">
        <f>'Tabulation Sheet'!C49</f>
        <v>0</v>
      </c>
      <c r="D49" s="4">
        <f>'Tabulation Sheet'!D49</f>
        <v>0</v>
      </c>
      <c r="E49" s="4">
        <f>'Tabulation Sheet'!E49</f>
        <v>0</v>
      </c>
      <c r="F49" s="4">
        <f>'Tabulation Sheet'!F49</f>
        <v>0</v>
      </c>
      <c r="G49" s="69"/>
      <c r="H49" s="69"/>
      <c r="I49" s="69"/>
      <c r="J49" s="69"/>
      <c r="K49" s="5"/>
      <c r="L49" s="5"/>
      <c r="M49" s="5"/>
      <c r="N49" s="5"/>
    </row>
    <row r="50" spans="2:14" ht="15.75" customHeight="1">
      <c r="B50" s="58">
        <f>'Tabulation Sheet'!B50</f>
        <v>0</v>
      </c>
      <c r="C50" s="66">
        <f>'Tabulation Sheet'!C50</f>
        <v>0</v>
      </c>
      <c r="D50" s="4">
        <f>'Tabulation Sheet'!D50</f>
        <v>0</v>
      </c>
      <c r="E50" s="4">
        <f>'Tabulation Sheet'!E50</f>
        <v>0</v>
      </c>
      <c r="F50" s="4">
        <f>'Tabulation Sheet'!F50</f>
        <v>0</v>
      </c>
      <c r="G50" s="69"/>
      <c r="H50" s="69"/>
      <c r="I50" s="69"/>
      <c r="J50" s="69"/>
      <c r="K50" s="5"/>
      <c r="L50" s="5"/>
      <c r="M50" s="5"/>
      <c r="N50" s="5"/>
    </row>
    <row r="51" spans="2:14" ht="15.75" customHeight="1">
      <c r="B51" s="58">
        <f>'Tabulation Sheet'!B51</f>
        <v>0</v>
      </c>
      <c r="C51" s="66">
        <f>'Tabulation Sheet'!C51</f>
        <v>0</v>
      </c>
      <c r="D51" s="4">
        <f>'Tabulation Sheet'!D51</f>
        <v>0</v>
      </c>
      <c r="E51" s="4">
        <f>'Tabulation Sheet'!E51</f>
        <v>0</v>
      </c>
      <c r="F51" s="4">
        <f>'Tabulation Sheet'!F51</f>
        <v>0</v>
      </c>
      <c r="G51" s="69"/>
      <c r="H51" s="69"/>
      <c r="I51" s="69"/>
      <c r="J51" s="69"/>
      <c r="K51" s="5"/>
      <c r="L51" s="5"/>
      <c r="M51" s="5"/>
      <c r="N51" s="5"/>
    </row>
    <row r="52" spans="2:14" ht="15.75" customHeight="1">
      <c r="B52" s="58">
        <f>'Tabulation Sheet'!B52</f>
        <v>0</v>
      </c>
      <c r="C52" s="66">
        <f>'Tabulation Sheet'!C52</f>
        <v>0</v>
      </c>
      <c r="D52" s="4">
        <f>'Tabulation Sheet'!D52</f>
        <v>0</v>
      </c>
      <c r="E52" s="4">
        <f>'Tabulation Sheet'!E52</f>
        <v>0</v>
      </c>
      <c r="F52" s="4">
        <f>'Tabulation Sheet'!F52</f>
        <v>0</v>
      </c>
      <c r="G52" s="69"/>
      <c r="H52" s="69"/>
      <c r="I52" s="69"/>
      <c r="J52" s="69"/>
      <c r="K52" s="5"/>
      <c r="L52" s="5"/>
      <c r="M52" s="5"/>
      <c r="N52" s="5"/>
    </row>
    <row r="53" spans="2:14" ht="15.75" customHeight="1">
      <c r="B53" s="58">
        <f>'Tabulation Sheet'!B53</f>
        <v>0</v>
      </c>
      <c r="C53" s="66">
        <f>'Tabulation Sheet'!C53</f>
        <v>0</v>
      </c>
      <c r="D53" s="4">
        <f>'Tabulation Sheet'!D53</f>
        <v>0</v>
      </c>
      <c r="E53" s="4">
        <f>'Tabulation Sheet'!E53</f>
        <v>0</v>
      </c>
      <c r="F53" s="4">
        <f>'Tabulation Sheet'!F53</f>
        <v>0</v>
      </c>
      <c r="G53" s="69"/>
      <c r="H53" s="69"/>
      <c r="I53" s="69"/>
      <c r="J53" s="69"/>
      <c r="K53" s="5"/>
      <c r="L53" s="5"/>
      <c r="M53" s="5"/>
      <c r="N53" s="5"/>
    </row>
    <row r="54" spans="2:14" ht="15.75" customHeight="1">
      <c r="B54" s="58">
        <f>'Tabulation Sheet'!B54</f>
        <v>0</v>
      </c>
      <c r="C54" s="66">
        <f>'Tabulation Sheet'!C54</f>
        <v>0</v>
      </c>
      <c r="D54" s="4">
        <f>'Tabulation Sheet'!D54</f>
        <v>0</v>
      </c>
      <c r="E54" s="4">
        <f>'Tabulation Sheet'!E54</f>
        <v>0</v>
      </c>
      <c r="F54" s="4">
        <f>'Tabulation Sheet'!F54</f>
        <v>0</v>
      </c>
      <c r="G54" s="69"/>
      <c r="H54" s="69"/>
      <c r="I54" s="69"/>
      <c r="J54" s="69"/>
      <c r="K54" s="5"/>
      <c r="L54" s="5"/>
      <c r="M54" s="5"/>
      <c r="N54" s="5"/>
    </row>
    <row r="55" spans="2:14" ht="15.75" customHeight="1">
      <c r="B55" s="58">
        <f>'Tabulation Sheet'!B55</f>
        <v>0</v>
      </c>
      <c r="C55" s="66">
        <f>'Tabulation Sheet'!C55</f>
        <v>0</v>
      </c>
      <c r="D55" s="4">
        <f>'Tabulation Sheet'!D55</f>
        <v>0</v>
      </c>
      <c r="E55" s="4">
        <f>'Tabulation Sheet'!E55</f>
        <v>0</v>
      </c>
      <c r="F55" s="4">
        <f>'Tabulation Sheet'!F55</f>
        <v>0</v>
      </c>
      <c r="G55" s="69"/>
      <c r="H55" s="69"/>
      <c r="I55" s="69"/>
      <c r="J55" s="69"/>
      <c r="K55" s="5"/>
      <c r="L55" s="5"/>
      <c r="M55" s="5"/>
      <c r="N55" s="5"/>
    </row>
    <row r="56" spans="2:14" ht="15.75" customHeight="1">
      <c r="B56" s="58">
        <f>'Tabulation Sheet'!B56</f>
        <v>0</v>
      </c>
      <c r="C56" s="66">
        <f>'Tabulation Sheet'!C56</f>
        <v>0</v>
      </c>
      <c r="D56" s="4">
        <f>'Tabulation Sheet'!D56</f>
        <v>0</v>
      </c>
      <c r="E56" s="4">
        <f>'Tabulation Sheet'!E56</f>
        <v>0</v>
      </c>
      <c r="F56" s="4">
        <f>'Tabulation Sheet'!F56</f>
        <v>0</v>
      </c>
      <c r="G56" s="69"/>
      <c r="H56" s="69"/>
      <c r="I56" s="69"/>
      <c r="J56" s="69"/>
      <c r="K56" s="5"/>
      <c r="L56" s="5"/>
      <c r="M56" s="5"/>
      <c r="N56" s="5"/>
    </row>
    <row r="57" spans="2:14" ht="15.75" customHeight="1">
      <c r="B57" s="58">
        <f>'Tabulation Sheet'!B57</f>
        <v>0</v>
      </c>
      <c r="C57" s="66">
        <f>'Tabulation Sheet'!C57</f>
        <v>0</v>
      </c>
      <c r="D57" s="4">
        <f>'Tabulation Sheet'!D57</f>
        <v>0</v>
      </c>
      <c r="E57" s="4">
        <f>'Tabulation Sheet'!E57</f>
        <v>0</v>
      </c>
      <c r="F57" s="4">
        <f>'Tabulation Sheet'!F57</f>
        <v>0</v>
      </c>
      <c r="G57" s="69"/>
      <c r="H57" s="69"/>
      <c r="I57" s="69"/>
      <c r="J57" s="69"/>
      <c r="K57" s="5"/>
      <c r="L57" s="5"/>
      <c r="M57" s="5"/>
      <c r="N57" s="5"/>
    </row>
    <row r="58" spans="2:14" ht="15.75" customHeight="1">
      <c r="B58" s="58">
        <f>'Tabulation Sheet'!B58</f>
        <v>0</v>
      </c>
      <c r="C58" s="66">
        <f>'Tabulation Sheet'!C58</f>
        <v>0</v>
      </c>
      <c r="D58" s="4">
        <f>'Tabulation Sheet'!D58</f>
        <v>0</v>
      </c>
      <c r="E58" s="4">
        <f>'Tabulation Sheet'!E58</f>
        <v>0</v>
      </c>
      <c r="F58" s="4">
        <f>'Tabulation Sheet'!F58</f>
        <v>0</v>
      </c>
      <c r="G58" s="69"/>
      <c r="H58" s="69"/>
      <c r="I58" s="69"/>
      <c r="J58" s="69"/>
      <c r="K58" s="5"/>
      <c r="L58" s="5"/>
      <c r="M58" s="5"/>
      <c r="N58" s="5"/>
    </row>
    <row r="59" spans="2:14" ht="15.75" customHeight="1">
      <c r="B59" s="58">
        <f>'Tabulation Sheet'!B59</f>
        <v>0</v>
      </c>
      <c r="C59" s="66">
        <f>'Tabulation Sheet'!C59</f>
        <v>0</v>
      </c>
      <c r="D59" s="4">
        <f>'Tabulation Sheet'!D59</f>
        <v>0</v>
      </c>
      <c r="E59" s="4">
        <f>'Tabulation Sheet'!E59</f>
        <v>0</v>
      </c>
      <c r="F59" s="4">
        <f>'Tabulation Sheet'!F59</f>
        <v>0</v>
      </c>
      <c r="G59" s="69"/>
      <c r="H59" s="69"/>
      <c r="I59" s="69"/>
      <c r="J59" s="69"/>
      <c r="K59" s="5"/>
      <c r="L59" s="5"/>
      <c r="M59" s="5"/>
      <c r="N59" s="5"/>
    </row>
    <row r="60" spans="2:14" ht="15.75" customHeight="1">
      <c r="B60" s="58">
        <f>'Tabulation Sheet'!B60</f>
        <v>0</v>
      </c>
      <c r="C60" s="66">
        <f>'Tabulation Sheet'!C60</f>
        <v>0</v>
      </c>
      <c r="D60" s="4">
        <f>'Tabulation Sheet'!D60</f>
        <v>0</v>
      </c>
      <c r="E60" s="4">
        <f>'Tabulation Sheet'!E60</f>
        <v>0</v>
      </c>
      <c r="F60" s="4">
        <f>'Tabulation Sheet'!F60</f>
        <v>0</v>
      </c>
      <c r="G60" s="69"/>
      <c r="H60" s="69"/>
      <c r="I60" s="69"/>
      <c r="J60" s="69"/>
      <c r="K60" s="5"/>
      <c r="L60" s="5"/>
      <c r="M60" s="5"/>
      <c r="N60" s="5"/>
    </row>
    <row r="61" spans="2:14" ht="15.75" customHeight="1">
      <c r="B61" s="58">
        <f>'Tabulation Sheet'!B61</f>
        <v>0</v>
      </c>
      <c r="C61" s="66">
        <f>'Tabulation Sheet'!C61</f>
        <v>0</v>
      </c>
      <c r="D61" s="4">
        <f>'Tabulation Sheet'!D61</f>
        <v>0</v>
      </c>
      <c r="E61" s="4">
        <f>'Tabulation Sheet'!E61</f>
        <v>0</v>
      </c>
      <c r="F61" s="4">
        <f>'Tabulation Sheet'!F61</f>
        <v>0</v>
      </c>
      <c r="G61" s="69"/>
      <c r="H61" s="69"/>
      <c r="I61" s="69"/>
      <c r="J61" s="69"/>
      <c r="K61" s="5"/>
      <c r="L61" s="5"/>
      <c r="M61" s="5"/>
      <c r="N61" s="5"/>
    </row>
    <row r="62" spans="2:14" ht="15.75" customHeight="1">
      <c r="B62" s="58">
        <f>'Tabulation Sheet'!B62</f>
        <v>0</v>
      </c>
      <c r="C62" s="66">
        <f>'Tabulation Sheet'!C62</f>
        <v>0</v>
      </c>
      <c r="D62" s="4">
        <f>'Tabulation Sheet'!D62</f>
        <v>0</v>
      </c>
      <c r="E62" s="4">
        <f>'Tabulation Sheet'!E62</f>
        <v>0</v>
      </c>
      <c r="F62" s="4">
        <f>'Tabulation Sheet'!F62</f>
        <v>0</v>
      </c>
      <c r="G62" s="69"/>
      <c r="H62" s="69"/>
      <c r="I62" s="69"/>
      <c r="J62" s="69"/>
      <c r="K62" s="5"/>
      <c r="L62" s="5"/>
      <c r="M62" s="5"/>
      <c r="N62" s="5"/>
    </row>
    <row r="63" spans="2:14" ht="15.75" customHeight="1">
      <c r="B63" s="58">
        <f>'Tabulation Sheet'!B63</f>
        <v>0</v>
      </c>
      <c r="C63" s="66">
        <f>'Tabulation Sheet'!C63</f>
        <v>0</v>
      </c>
      <c r="D63" s="4">
        <f>'Tabulation Sheet'!D63</f>
        <v>0</v>
      </c>
      <c r="E63" s="4">
        <f>'Tabulation Sheet'!E63</f>
        <v>0</v>
      </c>
      <c r="F63" s="4">
        <f>'Tabulation Sheet'!F63</f>
        <v>0</v>
      </c>
      <c r="G63" s="69"/>
      <c r="H63" s="69"/>
      <c r="I63" s="69"/>
      <c r="J63" s="69"/>
      <c r="K63" s="5"/>
      <c r="L63" s="5"/>
      <c r="M63" s="5"/>
      <c r="N63" s="5"/>
    </row>
    <row r="64" spans="2:14" ht="15.75" customHeight="1">
      <c r="B64" s="58">
        <f>'Tabulation Sheet'!B64</f>
        <v>0</v>
      </c>
      <c r="C64" s="66">
        <f>'Tabulation Sheet'!C64</f>
        <v>0</v>
      </c>
      <c r="D64" s="4">
        <f>'Tabulation Sheet'!D64</f>
        <v>0</v>
      </c>
      <c r="E64" s="4">
        <f>'Tabulation Sheet'!E64</f>
        <v>0</v>
      </c>
      <c r="F64" s="4">
        <f>'Tabulation Sheet'!F64</f>
        <v>0</v>
      </c>
      <c r="G64" s="69"/>
      <c r="H64" s="69"/>
      <c r="I64" s="69"/>
      <c r="J64" s="69"/>
      <c r="K64" s="5"/>
      <c r="L64" s="5"/>
      <c r="M64" s="5"/>
      <c r="N64" s="5"/>
    </row>
    <row r="65" spans="2:14" ht="15.75" customHeight="1">
      <c r="B65" s="58">
        <f>'Tabulation Sheet'!B65</f>
        <v>0</v>
      </c>
      <c r="C65" s="66">
        <f>'Tabulation Sheet'!C65</f>
        <v>0</v>
      </c>
      <c r="D65" s="4">
        <f>'Tabulation Sheet'!D65</f>
        <v>0</v>
      </c>
      <c r="E65" s="4">
        <f>'Tabulation Sheet'!E65</f>
        <v>0</v>
      </c>
      <c r="F65" s="4">
        <f>'Tabulation Sheet'!F65</f>
        <v>0</v>
      </c>
      <c r="G65" s="69"/>
      <c r="H65" s="69"/>
      <c r="I65" s="69"/>
      <c r="J65" s="69"/>
      <c r="K65" s="5"/>
      <c r="L65" s="5"/>
      <c r="M65" s="5"/>
      <c r="N65" s="5"/>
    </row>
    <row r="66" spans="2:14" ht="15.75" customHeight="1">
      <c r="B66" s="58">
        <f>'Tabulation Sheet'!B66</f>
        <v>0</v>
      </c>
      <c r="C66" s="66">
        <f>'Tabulation Sheet'!C66</f>
        <v>0</v>
      </c>
      <c r="D66" s="4">
        <f>'Tabulation Sheet'!D66</f>
        <v>0</v>
      </c>
      <c r="E66" s="4">
        <f>'Tabulation Sheet'!E66</f>
        <v>0</v>
      </c>
      <c r="F66" s="4">
        <f>'Tabulation Sheet'!F66</f>
        <v>0</v>
      </c>
      <c r="G66" s="69"/>
      <c r="H66" s="69"/>
      <c r="I66" s="69"/>
      <c r="J66" s="69"/>
      <c r="K66" s="5"/>
      <c r="L66" s="5"/>
      <c r="M66" s="5"/>
      <c r="N66" s="5"/>
    </row>
    <row r="67" spans="2:14" ht="15.75" customHeight="1">
      <c r="B67" s="58">
        <f>'Tabulation Sheet'!B67</f>
        <v>0</v>
      </c>
      <c r="C67" s="66">
        <f>'Tabulation Sheet'!C67</f>
        <v>0</v>
      </c>
      <c r="D67" s="4">
        <f>'Tabulation Sheet'!D67</f>
        <v>0</v>
      </c>
      <c r="E67" s="4">
        <f>'Tabulation Sheet'!E67</f>
        <v>0</v>
      </c>
      <c r="F67" s="4">
        <f>'Tabulation Sheet'!F67</f>
        <v>0</v>
      </c>
      <c r="G67" s="69"/>
      <c r="H67" s="69"/>
      <c r="I67" s="69"/>
      <c r="J67" s="69"/>
      <c r="K67" s="5"/>
      <c r="L67" s="5"/>
      <c r="M67" s="5"/>
      <c r="N67" s="5"/>
    </row>
    <row r="68" spans="2:14" ht="15.75" customHeight="1">
      <c r="B68" s="58">
        <f>'Tabulation Sheet'!B68</f>
        <v>0</v>
      </c>
      <c r="C68" s="66">
        <f>'Tabulation Sheet'!C68</f>
        <v>0</v>
      </c>
      <c r="D68" s="4">
        <f>'Tabulation Sheet'!D68</f>
        <v>0</v>
      </c>
      <c r="E68" s="4">
        <f>'Tabulation Sheet'!E68</f>
        <v>0</v>
      </c>
      <c r="F68" s="4">
        <f>'Tabulation Sheet'!F68</f>
        <v>0</v>
      </c>
      <c r="G68" s="69"/>
      <c r="H68" s="69"/>
      <c r="I68" s="69"/>
      <c r="J68" s="69"/>
      <c r="K68" s="5"/>
      <c r="L68" s="5"/>
      <c r="M68" s="5"/>
      <c r="N68" s="5"/>
    </row>
    <row r="69" spans="2:14" ht="15.75" customHeight="1">
      <c r="B69" s="58">
        <f>'Tabulation Sheet'!B69</f>
        <v>0</v>
      </c>
      <c r="C69" s="66">
        <f>'Tabulation Sheet'!C69</f>
        <v>0</v>
      </c>
      <c r="D69" s="4">
        <f>'Tabulation Sheet'!D69</f>
        <v>0</v>
      </c>
      <c r="E69" s="4">
        <f>'Tabulation Sheet'!E69</f>
        <v>0</v>
      </c>
      <c r="F69" s="4">
        <f>'Tabulation Sheet'!F69</f>
        <v>0</v>
      </c>
      <c r="G69" s="69"/>
      <c r="H69" s="69"/>
      <c r="I69" s="69"/>
      <c r="J69" s="69"/>
      <c r="K69" s="5"/>
      <c r="L69" s="5"/>
      <c r="M69" s="5"/>
      <c r="N69" s="5"/>
    </row>
    <row r="70" spans="2:14" ht="15.75" customHeight="1">
      <c r="B70" s="58">
        <f>'Tabulation Sheet'!B70</f>
        <v>0</v>
      </c>
      <c r="C70" s="66">
        <f>'Tabulation Sheet'!C70</f>
        <v>0</v>
      </c>
      <c r="D70" s="4">
        <f>'Tabulation Sheet'!D70</f>
        <v>0</v>
      </c>
      <c r="E70" s="4">
        <f>'Tabulation Sheet'!E70</f>
        <v>0</v>
      </c>
      <c r="F70" s="4">
        <f>'Tabulation Sheet'!F70</f>
        <v>0</v>
      </c>
      <c r="G70" s="69"/>
      <c r="H70" s="69"/>
      <c r="I70" s="69"/>
      <c r="J70" s="69"/>
      <c r="K70" s="5"/>
      <c r="L70" s="5"/>
      <c r="M70" s="5"/>
      <c r="N70" s="5"/>
    </row>
    <row r="71" spans="2:14" ht="15.75" customHeight="1">
      <c r="B71" s="58">
        <f>'Tabulation Sheet'!B71</f>
        <v>0</v>
      </c>
      <c r="C71" s="66">
        <f>'Tabulation Sheet'!C71</f>
        <v>0</v>
      </c>
      <c r="D71" s="4">
        <f>'Tabulation Sheet'!D71</f>
        <v>0</v>
      </c>
      <c r="E71" s="4">
        <f>'Tabulation Sheet'!E71</f>
        <v>0</v>
      </c>
      <c r="F71" s="4">
        <f>'Tabulation Sheet'!F71</f>
        <v>0</v>
      </c>
      <c r="G71" s="69"/>
      <c r="H71" s="69"/>
      <c r="I71" s="69"/>
      <c r="J71" s="69"/>
      <c r="K71" s="5"/>
      <c r="L71" s="5"/>
      <c r="M71" s="5"/>
      <c r="N71" s="5"/>
    </row>
    <row r="72" spans="2:14" ht="15.75" customHeight="1">
      <c r="B72" s="58">
        <f>'Tabulation Sheet'!B72</f>
        <v>0</v>
      </c>
      <c r="C72" s="66">
        <f>'Tabulation Sheet'!C72</f>
        <v>0</v>
      </c>
      <c r="D72" s="4">
        <f>'Tabulation Sheet'!D72</f>
        <v>0</v>
      </c>
      <c r="E72" s="4">
        <f>'Tabulation Sheet'!E72</f>
        <v>0</v>
      </c>
      <c r="F72" s="4">
        <f>'Tabulation Sheet'!F72</f>
        <v>0</v>
      </c>
      <c r="G72" s="69"/>
      <c r="H72" s="69"/>
      <c r="I72" s="69"/>
      <c r="J72" s="69"/>
      <c r="K72" s="5"/>
      <c r="L72" s="5"/>
      <c r="M72" s="5"/>
      <c r="N72" s="5"/>
    </row>
    <row r="73" spans="2:14" ht="15.75" customHeight="1">
      <c r="B73" s="58">
        <f>'Tabulation Sheet'!B73</f>
        <v>0</v>
      </c>
      <c r="C73" s="66">
        <f>'Tabulation Sheet'!C73</f>
        <v>0</v>
      </c>
      <c r="D73" s="4">
        <f>'Tabulation Sheet'!D73</f>
        <v>0</v>
      </c>
      <c r="E73" s="4">
        <f>'Tabulation Sheet'!E73</f>
        <v>0</v>
      </c>
      <c r="F73" s="4">
        <f>'Tabulation Sheet'!F73</f>
        <v>0</v>
      </c>
      <c r="G73" s="69"/>
      <c r="H73" s="69"/>
      <c r="I73" s="69"/>
      <c r="J73" s="69"/>
      <c r="K73" s="5"/>
      <c r="L73" s="5"/>
      <c r="M73" s="5"/>
      <c r="N73" s="5"/>
    </row>
    <row r="74" spans="2:14" ht="15.75" customHeight="1">
      <c r="B74" s="58">
        <f>'Tabulation Sheet'!B74</f>
        <v>0</v>
      </c>
      <c r="C74" s="66">
        <f>'Tabulation Sheet'!C74</f>
        <v>0</v>
      </c>
      <c r="D74" s="4">
        <f>'Tabulation Sheet'!D74</f>
        <v>0</v>
      </c>
      <c r="E74" s="4">
        <f>'Tabulation Sheet'!E74</f>
        <v>0</v>
      </c>
      <c r="F74" s="4">
        <f>'Tabulation Sheet'!F74</f>
        <v>0</v>
      </c>
      <c r="G74" s="69"/>
      <c r="H74" s="69"/>
      <c r="I74" s="69"/>
      <c r="J74" s="69"/>
      <c r="K74" s="5"/>
      <c r="L74" s="5"/>
      <c r="M74" s="5"/>
      <c r="N74" s="5"/>
    </row>
    <row r="75" spans="2:14" ht="15.75" customHeight="1">
      <c r="B75" s="58">
        <f>'Tabulation Sheet'!B75</f>
        <v>0</v>
      </c>
      <c r="C75" s="66">
        <f>'Tabulation Sheet'!C75</f>
        <v>0</v>
      </c>
      <c r="D75" s="4">
        <f>'Tabulation Sheet'!D75</f>
        <v>0</v>
      </c>
      <c r="E75" s="4">
        <f>'Tabulation Sheet'!E75</f>
        <v>0</v>
      </c>
      <c r="F75" s="4">
        <f>'Tabulation Sheet'!F75</f>
        <v>0</v>
      </c>
      <c r="G75" s="69"/>
      <c r="H75" s="69"/>
      <c r="I75" s="69"/>
      <c r="J75" s="69"/>
      <c r="K75" s="5"/>
      <c r="L75" s="5"/>
      <c r="M75" s="5"/>
      <c r="N75" s="5"/>
    </row>
    <row r="76" spans="2:14" ht="15.75" customHeight="1">
      <c r="B76" s="58">
        <f>'Tabulation Sheet'!B76</f>
        <v>0</v>
      </c>
      <c r="C76" s="66">
        <f>'Tabulation Sheet'!C76</f>
        <v>0</v>
      </c>
      <c r="D76" s="4">
        <f>'Tabulation Sheet'!D76</f>
        <v>0</v>
      </c>
      <c r="E76" s="4">
        <f>'Tabulation Sheet'!E76</f>
        <v>0</v>
      </c>
      <c r="F76" s="4">
        <f>'Tabulation Sheet'!F76</f>
        <v>0</v>
      </c>
      <c r="G76" s="69"/>
      <c r="H76" s="69"/>
      <c r="I76" s="69"/>
      <c r="J76" s="69"/>
      <c r="K76" s="5"/>
      <c r="L76" s="5"/>
      <c r="M76" s="5"/>
      <c r="N76" s="5"/>
    </row>
    <row r="77" spans="2:14" ht="15.75" customHeight="1">
      <c r="B77" s="58">
        <f>'Tabulation Sheet'!B77</f>
        <v>0</v>
      </c>
      <c r="C77" s="66">
        <f>'Tabulation Sheet'!C77</f>
        <v>0</v>
      </c>
      <c r="D77" s="4">
        <f>'Tabulation Sheet'!D77</f>
        <v>0</v>
      </c>
      <c r="E77" s="4">
        <f>'Tabulation Sheet'!E77</f>
        <v>0</v>
      </c>
      <c r="F77" s="4">
        <f>'Tabulation Sheet'!F77</f>
        <v>0</v>
      </c>
      <c r="G77" s="69"/>
      <c r="H77" s="69"/>
      <c r="I77" s="69"/>
      <c r="J77" s="69"/>
      <c r="K77" s="5"/>
      <c r="L77" s="5"/>
      <c r="M77" s="5"/>
      <c r="N77" s="5"/>
    </row>
    <row r="78" spans="2:14" ht="15.75" customHeight="1">
      <c r="B78" s="58">
        <f>'Tabulation Sheet'!B78</f>
        <v>0</v>
      </c>
      <c r="C78" s="66">
        <f>'Tabulation Sheet'!C78</f>
        <v>0</v>
      </c>
      <c r="D78" s="4">
        <f>'Tabulation Sheet'!D78</f>
        <v>0</v>
      </c>
      <c r="E78" s="4">
        <f>'Tabulation Sheet'!E78</f>
        <v>0</v>
      </c>
      <c r="F78" s="4">
        <f>'Tabulation Sheet'!F78</f>
        <v>0</v>
      </c>
      <c r="G78" s="69"/>
      <c r="H78" s="69"/>
      <c r="I78" s="69"/>
      <c r="J78" s="69"/>
      <c r="K78" s="5"/>
      <c r="L78" s="5"/>
      <c r="M78" s="5"/>
      <c r="N78" s="5"/>
    </row>
    <row r="79" spans="2:14" ht="15.75" customHeight="1">
      <c r="B79" s="58">
        <f>'Tabulation Sheet'!B79</f>
        <v>0</v>
      </c>
      <c r="C79" s="66">
        <f>'Tabulation Sheet'!C79</f>
        <v>0</v>
      </c>
      <c r="D79" s="4">
        <f>'Tabulation Sheet'!D79</f>
        <v>0</v>
      </c>
      <c r="E79" s="4">
        <f>'Tabulation Sheet'!E79</f>
        <v>0</v>
      </c>
      <c r="F79" s="4">
        <f>'Tabulation Sheet'!F79</f>
        <v>0</v>
      </c>
      <c r="G79" s="69"/>
      <c r="H79" s="69"/>
      <c r="I79" s="69"/>
      <c r="J79" s="69"/>
      <c r="K79" s="5"/>
      <c r="L79" s="5"/>
      <c r="M79" s="5"/>
      <c r="N79" s="5"/>
    </row>
    <row r="80" spans="2:14" ht="15.75" customHeight="1">
      <c r="B80" s="58">
        <f>'Tabulation Sheet'!B80</f>
        <v>0</v>
      </c>
      <c r="C80" s="66">
        <f>'Tabulation Sheet'!C80</f>
        <v>0</v>
      </c>
      <c r="D80" s="4">
        <f>'Tabulation Sheet'!D80</f>
        <v>0</v>
      </c>
      <c r="E80" s="4">
        <f>'Tabulation Sheet'!E80</f>
        <v>0</v>
      </c>
      <c r="F80" s="4">
        <f>'Tabulation Sheet'!F80</f>
        <v>0</v>
      </c>
      <c r="G80" s="69"/>
      <c r="H80" s="69"/>
      <c r="I80" s="69"/>
      <c r="J80" s="69"/>
      <c r="K80" s="5"/>
      <c r="L80" s="5"/>
      <c r="M80" s="5"/>
      <c r="N80" s="5"/>
    </row>
    <row r="81" spans="2:14" ht="15.75" customHeight="1">
      <c r="B81" s="58">
        <f>'Tabulation Sheet'!B81</f>
        <v>0</v>
      </c>
      <c r="C81" s="66">
        <f>'Tabulation Sheet'!C81</f>
        <v>0</v>
      </c>
      <c r="D81" s="4">
        <f>'Tabulation Sheet'!D81</f>
        <v>0</v>
      </c>
      <c r="E81" s="4">
        <f>'Tabulation Sheet'!E81</f>
        <v>0</v>
      </c>
      <c r="F81" s="4">
        <f>'Tabulation Sheet'!F81</f>
        <v>0</v>
      </c>
      <c r="G81" s="69"/>
      <c r="H81" s="69"/>
      <c r="I81" s="69"/>
      <c r="J81" s="69"/>
      <c r="K81" s="5"/>
      <c r="L81" s="5"/>
      <c r="M81" s="5"/>
      <c r="N81" s="5"/>
    </row>
    <row r="82" spans="2:14" ht="15.75" customHeight="1">
      <c r="B82" s="58">
        <f>'Tabulation Sheet'!B82</f>
        <v>0</v>
      </c>
      <c r="C82" s="66">
        <f>'Tabulation Sheet'!C82</f>
        <v>0</v>
      </c>
      <c r="D82" s="4">
        <f>'Tabulation Sheet'!D82</f>
        <v>0</v>
      </c>
      <c r="E82" s="4">
        <f>'Tabulation Sheet'!E82</f>
        <v>0</v>
      </c>
      <c r="F82" s="4">
        <f>'Tabulation Sheet'!F82</f>
        <v>0</v>
      </c>
      <c r="G82" s="69"/>
      <c r="H82" s="69"/>
      <c r="I82" s="69"/>
      <c r="J82" s="69"/>
      <c r="K82" s="5"/>
      <c r="L82" s="5"/>
      <c r="M82" s="5"/>
      <c r="N82" s="5"/>
    </row>
    <row r="83" spans="2:14" ht="15.75" customHeight="1">
      <c r="B83" s="58">
        <f>'Tabulation Sheet'!B83</f>
        <v>0</v>
      </c>
      <c r="C83" s="66">
        <f>'Tabulation Sheet'!C83</f>
        <v>0</v>
      </c>
      <c r="D83" s="4">
        <f>'Tabulation Sheet'!D83</f>
        <v>0</v>
      </c>
      <c r="E83" s="4">
        <f>'Tabulation Sheet'!E83</f>
        <v>0</v>
      </c>
      <c r="F83" s="4">
        <f>'Tabulation Sheet'!F83</f>
        <v>0</v>
      </c>
      <c r="G83" s="69"/>
      <c r="H83" s="69"/>
      <c r="I83" s="69"/>
      <c r="J83" s="69"/>
      <c r="K83" s="5"/>
      <c r="L83" s="5"/>
      <c r="M83" s="5"/>
      <c r="N83" s="5"/>
    </row>
    <row r="84" spans="2:14" ht="15.75" customHeight="1">
      <c r="B84" s="58">
        <f>'Tabulation Sheet'!B84</f>
        <v>0</v>
      </c>
      <c r="C84" s="66">
        <f>'Tabulation Sheet'!C84</f>
        <v>0</v>
      </c>
      <c r="D84" s="4">
        <f>'Tabulation Sheet'!D84</f>
        <v>0</v>
      </c>
      <c r="E84" s="4">
        <f>'Tabulation Sheet'!E84</f>
        <v>0</v>
      </c>
      <c r="F84" s="4">
        <f>'Tabulation Sheet'!F84</f>
        <v>0</v>
      </c>
      <c r="G84" s="69"/>
      <c r="H84" s="69"/>
      <c r="I84" s="69"/>
      <c r="J84" s="69"/>
      <c r="K84" s="5"/>
      <c r="L84" s="5"/>
      <c r="M84" s="5"/>
      <c r="N84" s="5"/>
    </row>
    <row r="85" spans="2:14" ht="15.75" customHeight="1">
      <c r="B85" s="58">
        <f>'Tabulation Sheet'!B85</f>
        <v>0</v>
      </c>
      <c r="C85" s="66">
        <f>'Tabulation Sheet'!C85</f>
        <v>0</v>
      </c>
      <c r="D85" s="4">
        <f>'Tabulation Sheet'!D85</f>
        <v>0</v>
      </c>
      <c r="E85" s="4">
        <f>'Tabulation Sheet'!E85</f>
        <v>0</v>
      </c>
      <c r="F85" s="4">
        <f>'Tabulation Sheet'!F85</f>
        <v>0</v>
      </c>
      <c r="G85" s="69"/>
      <c r="H85" s="69"/>
      <c r="I85" s="69"/>
      <c r="J85" s="69"/>
      <c r="K85" s="5"/>
      <c r="L85" s="5"/>
      <c r="M85" s="5"/>
      <c r="N85" s="5"/>
    </row>
    <row r="86" spans="2:14" ht="15.75" customHeight="1">
      <c r="B86" s="58">
        <f>'Tabulation Sheet'!B86</f>
        <v>0</v>
      </c>
      <c r="C86" s="66">
        <f>'Tabulation Sheet'!C86</f>
        <v>0</v>
      </c>
      <c r="D86" s="4">
        <f>'Tabulation Sheet'!D86</f>
        <v>0</v>
      </c>
      <c r="E86" s="4">
        <f>'Tabulation Sheet'!E86</f>
        <v>0</v>
      </c>
      <c r="F86" s="4">
        <f>'Tabulation Sheet'!F86</f>
        <v>0</v>
      </c>
      <c r="G86" s="69"/>
      <c r="H86" s="69"/>
      <c r="I86" s="69"/>
      <c r="J86" s="69"/>
      <c r="K86" s="5"/>
      <c r="L86" s="5"/>
      <c r="M86" s="5"/>
      <c r="N86" s="5"/>
    </row>
    <row r="87" spans="2:14" ht="15.75" customHeight="1">
      <c r="B87" s="58">
        <f>'Tabulation Sheet'!B87</f>
        <v>0</v>
      </c>
      <c r="C87" s="66">
        <f>'Tabulation Sheet'!C87</f>
        <v>0</v>
      </c>
      <c r="D87" s="4">
        <f>'Tabulation Sheet'!D87</f>
        <v>0</v>
      </c>
      <c r="E87" s="4">
        <f>'Tabulation Sheet'!E87</f>
        <v>0</v>
      </c>
      <c r="F87" s="4">
        <f>'Tabulation Sheet'!F87</f>
        <v>0</v>
      </c>
      <c r="G87" s="69"/>
      <c r="H87" s="69"/>
      <c r="I87" s="69"/>
      <c r="J87" s="69"/>
      <c r="K87" s="5"/>
      <c r="L87" s="5"/>
      <c r="M87" s="5"/>
      <c r="N87" s="5"/>
    </row>
    <row r="88" spans="2:14" ht="15.75" customHeight="1">
      <c r="B88" s="58">
        <f>'Tabulation Sheet'!B88</f>
        <v>0</v>
      </c>
      <c r="C88" s="66">
        <f>'Tabulation Sheet'!C88</f>
        <v>0</v>
      </c>
      <c r="D88" s="4">
        <f>'Tabulation Sheet'!D88</f>
        <v>0</v>
      </c>
      <c r="E88" s="4">
        <f>'Tabulation Sheet'!E88</f>
        <v>0</v>
      </c>
      <c r="F88" s="4">
        <f>'Tabulation Sheet'!F88</f>
        <v>0</v>
      </c>
      <c r="G88" s="69"/>
      <c r="H88" s="69"/>
      <c r="I88" s="69"/>
      <c r="J88" s="69"/>
      <c r="K88" s="5"/>
      <c r="L88" s="5"/>
      <c r="M88" s="5"/>
      <c r="N88" s="5"/>
    </row>
    <row r="89" spans="2:14" ht="15.75" customHeight="1">
      <c r="B89" s="58">
        <f>'Tabulation Sheet'!B89</f>
        <v>0</v>
      </c>
      <c r="C89" s="66">
        <f>'Tabulation Sheet'!C89</f>
        <v>0</v>
      </c>
      <c r="D89" s="4">
        <f>'Tabulation Sheet'!D89</f>
        <v>0</v>
      </c>
      <c r="E89" s="4">
        <f>'Tabulation Sheet'!E89</f>
        <v>0</v>
      </c>
      <c r="F89" s="4">
        <f>'Tabulation Sheet'!F89</f>
        <v>0</v>
      </c>
      <c r="G89" s="69"/>
      <c r="H89" s="69"/>
      <c r="I89" s="69"/>
      <c r="J89" s="69"/>
      <c r="K89" s="5"/>
      <c r="L89" s="5"/>
      <c r="M89" s="5"/>
      <c r="N89" s="5"/>
    </row>
    <row r="90" spans="2:14" ht="15.75" customHeight="1">
      <c r="B90" s="58">
        <f>'Tabulation Sheet'!B90</f>
        <v>0</v>
      </c>
      <c r="C90" s="66">
        <f>'Tabulation Sheet'!C90</f>
        <v>0</v>
      </c>
      <c r="D90" s="4">
        <f>'Tabulation Sheet'!D90</f>
        <v>0</v>
      </c>
      <c r="E90" s="4">
        <f>'Tabulation Sheet'!E90</f>
        <v>0</v>
      </c>
      <c r="F90" s="4">
        <f>'Tabulation Sheet'!F90</f>
        <v>0</v>
      </c>
      <c r="G90" s="69"/>
      <c r="H90" s="69"/>
      <c r="I90" s="69"/>
      <c r="J90" s="69"/>
      <c r="K90" s="5"/>
      <c r="L90" s="5"/>
      <c r="M90" s="5"/>
      <c r="N90" s="5"/>
    </row>
    <row r="91" spans="2:14" ht="15.75" customHeight="1">
      <c r="B91" s="58">
        <f>'Tabulation Sheet'!B91</f>
        <v>0</v>
      </c>
      <c r="C91" s="66">
        <f>'Tabulation Sheet'!C91</f>
        <v>0</v>
      </c>
      <c r="D91" s="4">
        <f>'Tabulation Sheet'!D91</f>
        <v>0</v>
      </c>
      <c r="E91" s="4">
        <f>'Tabulation Sheet'!E91</f>
        <v>0</v>
      </c>
      <c r="F91" s="4">
        <f>'Tabulation Sheet'!F91</f>
        <v>0</v>
      </c>
      <c r="G91" s="69"/>
      <c r="H91" s="69"/>
      <c r="I91" s="69"/>
      <c r="J91" s="69"/>
      <c r="K91" s="5"/>
      <c r="L91" s="5"/>
      <c r="M91" s="5"/>
      <c r="N91" s="5"/>
    </row>
    <row r="92" spans="2:14" ht="15.75" customHeight="1">
      <c r="B92" s="58">
        <f>'Tabulation Sheet'!B92</f>
        <v>0</v>
      </c>
      <c r="C92" s="66">
        <f>'Tabulation Sheet'!C92</f>
        <v>0</v>
      </c>
      <c r="D92" s="4">
        <f>'Tabulation Sheet'!D92</f>
        <v>0</v>
      </c>
      <c r="E92" s="4">
        <f>'Tabulation Sheet'!E92</f>
        <v>0</v>
      </c>
      <c r="F92" s="4">
        <f>'Tabulation Sheet'!F92</f>
        <v>0</v>
      </c>
      <c r="G92" s="69"/>
      <c r="H92" s="69"/>
      <c r="I92" s="69"/>
      <c r="J92" s="69"/>
      <c r="K92" s="5"/>
      <c r="L92" s="5"/>
      <c r="M92" s="5"/>
      <c r="N92" s="5"/>
    </row>
    <row r="93" spans="2:14" ht="15.75" customHeight="1">
      <c r="B93" s="58">
        <f>'Tabulation Sheet'!B93</f>
        <v>0</v>
      </c>
      <c r="C93" s="66">
        <f>'Tabulation Sheet'!C93</f>
        <v>0</v>
      </c>
      <c r="D93" s="4">
        <f>'Tabulation Sheet'!D93</f>
        <v>0</v>
      </c>
      <c r="E93" s="4">
        <f>'Tabulation Sheet'!E93</f>
        <v>0</v>
      </c>
      <c r="F93" s="4">
        <f>'Tabulation Sheet'!F93</f>
        <v>0</v>
      </c>
      <c r="G93" s="69"/>
      <c r="H93" s="69"/>
      <c r="I93" s="69"/>
      <c r="J93" s="69"/>
      <c r="K93" s="5"/>
      <c r="L93" s="5"/>
      <c r="M93" s="5"/>
      <c r="N93" s="5"/>
    </row>
    <row r="94" spans="2:14" ht="15.75" customHeight="1">
      <c r="B94" s="58">
        <f>'Tabulation Sheet'!B94</f>
        <v>0</v>
      </c>
      <c r="C94" s="66">
        <f>'Tabulation Sheet'!C94</f>
        <v>0</v>
      </c>
      <c r="D94" s="4">
        <f>'Tabulation Sheet'!D94</f>
        <v>0</v>
      </c>
      <c r="E94" s="4">
        <f>'Tabulation Sheet'!E94</f>
        <v>0</v>
      </c>
      <c r="F94" s="4">
        <f>'Tabulation Sheet'!F94</f>
        <v>0</v>
      </c>
      <c r="G94" s="69"/>
      <c r="H94" s="69"/>
      <c r="I94" s="69"/>
      <c r="J94" s="69"/>
      <c r="K94" s="5"/>
      <c r="L94" s="5"/>
      <c r="M94" s="5"/>
      <c r="N94" s="5"/>
    </row>
    <row r="95" spans="2:14" ht="15.75" customHeight="1">
      <c r="B95" s="58">
        <f>'Tabulation Sheet'!B95</f>
        <v>0</v>
      </c>
      <c r="C95" s="66">
        <f>'Tabulation Sheet'!C95</f>
        <v>0</v>
      </c>
      <c r="D95" s="4">
        <f>'Tabulation Sheet'!D95</f>
        <v>0</v>
      </c>
      <c r="E95" s="4">
        <f>'Tabulation Sheet'!E95</f>
        <v>0</v>
      </c>
      <c r="F95" s="4">
        <f>'Tabulation Sheet'!F95</f>
        <v>0</v>
      </c>
      <c r="G95" s="69"/>
      <c r="H95" s="69"/>
      <c r="I95" s="69"/>
      <c r="J95" s="69"/>
      <c r="K95" s="5"/>
      <c r="L95" s="5"/>
      <c r="M95" s="5"/>
      <c r="N95" s="5"/>
    </row>
    <row r="96" spans="2:14" ht="15.75" customHeight="1">
      <c r="B96" s="58">
        <f>'Tabulation Sheet'!B96</f>
        <v>0</v>
      </c>
      <c r="C96" s="66">
        <f>'Tabulation Sheet'!C96</f>
        <v>0</v>
      </c>
      <c r="D96" s="4">
        <f>'Tabulation Sheet'!D96</f>
        <v>0</v>
      </c>
      <c r="E96" s="4">
        <f>'Tabulation Sheet'!E96</f>
        <v>0</v>
      </c>
      <c r="F96" s="4">
        <f>'Tabulation Sheet'!F96</f>
        <v>0</v>
      </c>
      <c r="G96" s="69"/>
      <c r="H96" s="69"/>
      <c r="I96" s="69"/>
      <c r="J96" s="69"/>
      <c r="K96" s="5"/>
      <c r="L96" s="5"/>
      <c r="M96" s="5"/>
      <c r="N96" s="5"/>
    </row>
    <row r="97" spans="2:14" ht="15.75" customHeight="1">
      <c r="B97" s="58">
        <f>'Tabulation Sheet'!B97</f>
        <v>0</v>
      </c>
      <c r="C97" s="66">
        <f>'Tabulation Sheet'!C97</f>
        <v>0</v>
      </c>
      <c r="D97" s="4">
        <f>'Tabulation Sheet'!D97</f>
        <v>0</v>
      </c>
      <c r="E97" s="4">
        <f>'Tabulation Sheet'!E97</f>
        <v>0</v>
      </c>
      <c r="F97" s="4">
        <f>'Tabulation Sheet'!F97</f>
        <v>0</v>
      </c>
      <c r="G97" s="69"/>
      <c r="H97" s="69"/>
      <c r="I97" s="69"/>
      <c r="J97" s="69"/>
      <c r="K97" s="5"/>
      <c r="L97" s="5"/>
      <c r="M97" s="5"/>
      <c r="N97" s="5"/>
    </row>
    <row r="98" spans="2:14" ht="15.75" customHeight="1">
      <c r="B98" s="58">
        <f>'Tabulation Sheet'!B98</f>
        <v>0</v>
      </c>
      <c r="C98" s="66">
        <f>'Tabulation Sheet'!C98</f>
        <v>0</v>
      </c>
      <c r="D98" s="4">
        <f>'Tabulation Sheet'!D98</f>
        <v>0</v>
      </c>
      <c r="E98" s="4">
        <f>'Tabulation Sheet'!E98</f>
        <v>0</v>
      </c>
      <c r="F98" s="4">
        <f>'Tabulation Sheet'!F98</f>
        <v>0</v>
      </c>
      <c r="G98" s="69"/>
      <c r="H98" s="69"/>
      <c r="I98" s="69"/>
      <c r="J98" s="69"/>
      <c r="K98" s="5"/>
      <c r="L98" s="5"/>
      <c r="M98" s="5"/>
      <c r="N98" s="5"/>
    </row>
    <row r="99" spans="2:14" ht="15.75" customHeight="1">
      <c r="B99" s="58">
        <f>'Tabulation Sheet'!B99</f>
        <v>0</v>
      </c>
      <c r="C99" s="66">
        <f>'Tabulation Sheet'!C99</f>
        <v>0</v>
      </c>
      <c r="D99" s="4">
        <f>'Tabulation Sheet'!D99</f>
        <v>0</v>
      </c>
      <c r="E99" s="4">
        <f>'Tabulation Sheet'!E99</f>
        <v>0</v>
      </c>
      <c r="F99" s="4">
        <f>'Tabulation Sheet'!F99</f>
        <v>0</v>
      </c>
      <c r="G99" s="69"/>
      <c r="H99" s="69"/>
      <c r="I99" s="69"/>
      <c r="J99" s="69"/>
      <c r="K99" s="5"/>
      <c r="L99" s="5"/>
      <c r="M99" s="5"/>
      <c r="N99" s="5"/>
    </row>
    <row r="100" spans="2:14" ht="15.75" customHeight="1">
      <c r="B100" s="58">
        <f>'Tabulation Sheet'!B100</f>
        <v>0</v>
      </c>
      <c r="C100" s="66">
        <f>'Tabulation Sheet'!C100</f>
        <v>0</v>
      </c>
      <c r="D100" s="4">
        <f>'Tabulation Sheet'!D100</f>
        <v>0</v>
      </c>
      <c r="E100" s="4">
        <f>'Tabulation Sheet'!E100</f>
        <v>0</v>
      </c>
      <c r="F100" s="4">
        <f>'Tabulation Sheet'!F100</f>
        <v>0</v>
      </c>
      <c r="G100" s="69"/>
      <c r="H100" s="69"/>
      <c r="I100" s="69"/>
      <c r="J100" s="69"/>
      <c r="K100" s="5"/>
      <c r="L100" s="5"/>
      <c r="M100" s="5"/>
      <c r="N100" s="5"/>
    </row>
    <row r="101" spans="2:14" ht="15.75" customHeight="1">
      <c r="B101" s="58">
        <f>'Tabulation Sheet'!B101</f>
        <v>0</v>
      </c>
      <c r="C101" s="66">
        <f>'Tabulation Sheet'!C101</f>
        <v>0</v>
      </c>
      <c r="D101" s="4">
        <f>'Tabulation Sheet'!D101</f>
        <v>0</v>
      </c>
      <c r="E101" s="4">
        <f>'Tabulation Sheet'!E101</f>
        <v>0</v>
      </c>
      <c r="F101" s="4">
        <f>'Tabulation Sheet'!F101</f>
        <v>0</v>
      </c>
      <c r="G101" s="69"/>
      <c r="H101" s="69"/>
      <c r="I101" s="69"/>
      <c r="J101" s="69"/>
      <c r="K101" s="5"/>
      <c r="L101" s="5"/>
      <c r="M101" s="5"/>
      <c r="N101" s="5"/>
    </row>
    <row r="102" spans="2:14" ht="15.75" customHeight="1">
      <c r="B102" s="58">
        <f>'Tabulation Sheet'!B102</f>
        <v>0</v>
      </c>
      <c r="C102" s="66">
        <f>'Tabulation Sheet'!C102</f>
        <v>0</v>
      </c>
      <c r="D102" s="4">
        <f>'Tabulation Sheet'!D102</f>
        <v>0</v>
      </c>
      <c r="E102" s="4">
        <f>'Tabulation Sheet'!E102</f>
        <v>0</v>
      </c>
      <c r="F102" s="4">
        <f>'Tabulation Sheet'!F102</f>
        <v>0</v>
      </c>
      <c r="G102" s="69"/>
      <c r="H102" s="69"/>
      <c r="I102" s="69"/>
      <c r="J102" s="69"/>
      <c r="K102" s="5"/>
      <c r="L102" s="5"/>
      <c r="M102" s="5"/>
      <c r="N102" s="5"/>
    </row>
    <row r="103" spans="2:14" ht="15.75" customHeight="1">
      <c r="B103" s="58">
        <f>'Tabulation Sheet'!B103</f>
        <v>0</v>
      </c>
      <c r="C103" s="66">
        <f>'Tabulation Sheet'!C103</f>
        <v>0</v>
      </c>
      <c r="D103" s="4">
        <f>'Tabulation Sheet'!D103</f>
        <v>0</v>
      </c>
      <c r="E103" s="4">
        <f>'Tabulation Sheet'!E103</f>
        <v>0</v>
      </c>
      <c r="F103" s="4">
        <f>'Tabulation Sheet'!F103</f>
        <v>0</v>
      </c>
      <c r="G103" s="69"/>
      <c r="H103" s="69"/>
      <c r="I103" s="69"/>
      <c r="J103" s="69"/>
      <c r="K103" s="5"/>
      <c r="L103" s="5"/>
      <c r="M103" s="5"/>
      <c r="N103" s="5"/>
    </row>
    <row r="104" spans="2:14" ht="15.75" customHeight="1">
      <c r="B104" s="58">
        <f>'Tabulation Sheet'!B104</f>
        <v>0</v>
      </c>
      <c r="C104" s="66">
        <f>'Tabulation Sheet'!C104</f>
        <v>0</v>
      </c>
      <c r="D104" s="4">
        <f>'Tabulation Sheet'!D104</f>
        <v>0</v>
      </c>
      <c r="E104" s="4">
        <f>'Tabulation Sheet'!E104</f>
        <v>0</v>
      </c>
      <c r="F104" s="4">
        <f>'Tabulation Sheet'!F104</f>
        <v>0</v>
      </c>
      <c r="G104" s="69"/>
      <c r="H104" s="69"/>
      <c r="I104" s="69"/>
      <c r="J104" s="69"/>
      <c r="K104" s="5"/>
      <c r="L104" s="5"/>
      <c r="M104" s="5"/>
      <c r="N104" s="5"/>
    </row>
    <row r="105" spans="2:14" ht="15.75" customHeight="1">
      <c r="B105" s="58">
        <f>'Tabulation Sheet'!B105</f>
        <v>0</v>
      </c>
      <c r="C105" s="66">
        <f>'Tabulation Sheet'!C105</f>
        <v>0</v>
      </c>
      <c r="D105" s="4">
        <f>'Tabulation Sheet'!D105</f>
        <v>0</v>
      </c>
      <c r="E105" s="4">
        <f>'Tabulation Sheet'!E105</f>
        <v>0</v>
      </c>
      <c r="F105" s="4">
        <f>'Tabulation Sheet'!F105</f>
        <v>0</v>
      </c>
      <c r="G105" s="69"/>
      <c r="H105" s="69"/>
      <c r="I105" s="69"/>
      <c r="J105" s="69"/>
      <c r="K105" s="5"/>
      <c r="L105" s="5"/>
      <c r="M105" s="5"/>
      <c r="N105" s="5"/>
    </row>
    <row r="106" spans="2:14" ht="15.75" customHeight="1">
      <c r="B106" s="58">
        <f>'Tabulation Sheet'!B106</f>
        <v>0</v>
      </c>
      <c r="C106" s="66">
        <f>'Tabulation Sheet'!C106</f>
        <v>0</v>
      </c>
      <c r="D106" s="4">
        <f>'Tabulation Sheet'!D106</f>
        <v>0</v>
      </c>
      <c r="E106" s="4">
        <f>'Tabulation Sheet'!E106</f>
        <v>0</v>
      </c>
      <c r="F106" s="4">
        <f>'Tabulation Sheet'!F106</f>
        <v>0</v>
      </c>
      <c r="G106" s="69"/>
      <c r="H106" s="69"/>
      <c r="I106" s="69"/>
      <c r="J106" s="69"/>
      <c r="K106" s="5"/>
      <c r="L106" s="5"/>
      <c r="M106" s="5"/>
      <c r="N106" s="5"/>
    </row>
    <row r="107" spans="2:14" ht="15.75" customHeight="1">
      <c r="B107" s="58">
        <f>'Tabulation Sheet'!B107</f>
        <v>0</v>
      </c>
      <c r="C107" s="66">
        <f>'Tabulation Sheet'!C107</f>
        <v>0</v>
      </c>
      <c r="D107" s="4">
        <f>'Tabulation Sheet'!D107</f>
        <v>0</v>
      </c>
      <c r="E107" s="4">
        <f>'Tabulation Sheet'!E107</f>
        <v>0</v>
      </c>
      <c r="F107" s="4">
        <f>'Tabulation Sheet'!F107</f>
        <v>0</v>
      </c>
      <c r="G107" s="69"/>
      <c r="H107" s="69"/>
      <c r="I107" s="69"/>
      <c r="J107" s="69"/>
      <c r="K107" s="5"/>
      <c r="L107" s="5"/>
      <c r="M107" s="5"/>
      <c r="N107" s="5"/>
    </row>
    <row r="108" spans="2:14" ht="15.75" customHeight="1">
      <c r="B108" s="58">
        <f>'Tabulation Sheet'!B108</f>
        <v>0</v>
      </c>
      <c r="C108" s="66">
        <f>'Tabulation Sheet'!C108</f>
        <v>0</v>
      </c>
      <c r="D108" s="4">
        <f>'Tabulation Sheet'!D108</f>
        <v>0</v>
      </c>
      <c r="E108" s="4">
        <f>'Tabulation Sheet'!E108</f>
        <v>0</v>
      </c>
      <c r="F108" s="4">
        <f>'Tabulation Sheet'!F108</f>
        <v>0</v>
      </c>
      <c r="G108" s="69"/>
      <c r="H108" s="69"/>
      <c r="I108" s="69"/>
      <c r="J108" s="69"/>
      <c r="K108" s="5"/>
      <c r="L108" s="5"/>
      <c r="M108" s="5"/>
      <c r="N108" s="5"/>
    </row>
    <row r="109" spans="2:14" ht="15.75" customHeight="1">
      <c r="B109" s="58">
        <f>'Tabulation Sheet'!B109</f>
        <v>0</v>
      </c>
      <c r="C109" s="66">
        <f>'Tabulation Sheet'!C109</f>
        <v>0</v>
      </c>
      <c r="D109" s="4">
        <f>'Tabulation Sheet'!D109</f>
        <v>0</v>
      </c>
      <c r="E109" s="4">
        <f>'Tabulation Sheet'!E109</f>
        <v>0</v>
      </c>
      <c r="F109" s="4">
        <f>'Tabulation Sheet'!F109</f>
        <v>0</v>
      </c>
      <c r="G109" s="69"/>
      <c r="H109" s="69"/>
      <c r="I109" s="69"/>
      <c r="J109" s="69"/>
      <c r="K109" s="5"/>
      <c r="L109" s="5"/>
      <c r="M109" s="5"/>
      <c r="N109" s="5"/>
    </row>
    <row r="110" spans="2:14" ht="15.75" customHeight="1">
      <c r="B110" s="58">
        <f>'Tabulation Sheet'!B110</f>
        <v>0</v>
      </c>
      <c r="C110" s="66">
        <f>'Tabulation Sheet'!C110</f>
        <v>0</v>
      </c>
      <c r="D110" s="4">
        <f>'Tabulation Sheet'!D110</f>
        <v>0</v>
      </c>
      <c r="E110" s="4">
        <f>'Tabulation Sheet'!E110</f>
        <v>0</v>
      </c>
      <c r="F110" s="4">
        <f>'Tabulation Sheet'!F110</f>
        <v>0</v>
      </c>
      <c r="G110" s="69"/>
      <c r="H110" s="69"/>
      <c r="I110" s="69"/>
      <c r="J110" s="69"/>
      <c r="K110" s="5"/>
      <c r="L110" s="5"/>
      <c r="M110" s="5"/>
      <c r="N110" s="5"/>
    </row>
    <row r="111" spans="2:14" ht="15.75" customHeight="1">
      <c r="B111" s="58">
        <f>'Tabulation Sheet'!B111</f>
        <v>0</v>
      </c>
      <c r="C111" s="66">
        <f>'Tabulation Sheet'!C111</f>
        <v>0</v>
      </c>
      <c r="D111" s="4">
        <f>'Tabulation Sheet'!D111</f>
        <v>0</v>
      </c>
      <c r="E111" s="4">
        <f>'Tabulation Sheet'!E111</f>
        <v>0</v>
      </c>
      <c r="F111" s="4">
        <f>'Tabulation Sheet'!F111</f>
        <v>0</v>
      </c>
      <c r="G111" s="69"/>
      <c r="H111" s="69"/>
      <c r="I111" s="69"/>
      <c r="J111" s="69"/>
      <c r="K111" s="5"/>
      <c r="L111" s="5"/>
      <c r="M111" s="5"/>
      <c r="N111" s="5"/>
    </row>
    <row r="112" spans="2:14" ht="15.75" customHeight="1">
      <c r="B112" s="58">
        <f>'Tabulation Sheet'!B112</f>
        <v>0</v>
      </c>
      <c r="C112" s="66">
        <f>'Tabulation Sheet'!C112</f>
        <v>0</v>
      </c>
      <c r="D112" s="4">
        <f>'Tabulation Sheet'!D112</f>
        <v>0</v>
      </c>
      <c r="E112" s="4">
        <f>'Tabulation Sheet'!E112</f>
        <v>0</v>
      </c>
      <c r="F112" s="4">
        <f>'Tabulation Sheet'!F112</f>
        <v>0</v>
      </c>
      <c r="G112" s="69"/>
      <c r="H112" s="69"/>
      <c r="I112" s="69"/>
      <c r="J112" s="69"/>
      <c r="K112" s="5"/>
      <c r="L112" s="5"/>
      <c r="M112" s="5"/>
      <c r="N112" s="5"/>
    </row>
    <row r="113" spans="2:14" ht="15.75" customHeight="1">
      <c r="B113" s="58">
        <f>'Tabulation Sheet'!B113</f>
        <v>0</v>
      </c>
      <c r="C113" s="66">
        <f>'Tabulation Sheet'!C113</f>
        <v>0</v>
      </c>
      <c r="D113" s="4">
        <f>'Tabulation Sheet'!D113</f>
        <v>0</v>
      </c>
      <c r="E113" s="4">
        <f>'Tabulation Sheet'!E113</f>
        <v>0</v>
      </c>
      <c r="F113" s="4">
        <f>'Tabulation Sheet'!F113</f>
        <v>0</v>
      </c>
      <c r="G113" s="69"/>
      <c r="H113" s="69"/>
      <c r="I113" s="69"/>
      <c r="J113" s="69"/>
      <c r="K113" s="5"/>
      <c r="L113" s="5"/>
      <c r="M113" s="5"/>
      <c r="N113" s="5"/>
    </row>
    <row r="114" spans="2:14" ht="15.75" customHeight="1">
      <c r="B114" s="58">
        <f>'Tabulation Sheet'!B114</f>
        <v>0</v>
      </c>
      <c r="C114" s="66">
        <f>'Tabulation Sheet'!C114</f>
        <v>0</v>
      </c>
      <c r="D114" s="4">
        <f>'Tabulation Sheet'!D114</f>
        <v>0</v>
      </c>
      <c r="E114" s="4">
        <f>'Tabulation Sheet'!E114</f>
        <v>0</v>
      </c>
      <c r="F114" s="4">
        <f>'Tabulation Sheet'!F114</f>
        <v>0</v>
      </c>
      <c r="G114" s="69"/>
      <c r="H114" s="69"/>
      <c r="I114" s="69"/>
      <c r="J114" s="69"/>
      <c r="K114" s="5"/>
      <c r="L114" s="5"/>
      <c r="M114" s="5"/>
      <c r="N114" s="5"/>
    </row>
    <row r="115" spans="2:14" ht="15.75" customHeight="1">
      <c r="B115" s="58">
        <f>'Tabulation Sheet'!B115</f>
        <v>0</v>
      </c>
      <c r="C115" s="66">
        <f>'Tabulation Sheet'!C115</f>
        <v>0</v>
      </c>
      <c r="D115" s="4">
        <f>'Tabulation Sheet'!D115</f>
        <v>0</v>
      </c>
      <c r="E115" s="4">
        <f>'Tabulation Sheet'!E115</f>
        <v>0</v>
      </c>
      <c r="F115" s="4">
        <f>'Tabulation Sheet'!F115</f>
        <v>0</v>
      </c>
      <c r="G115" s="69"/>
      <c r="H115" s="69"/>
      <c r="I115" s="69"/>
      <c r="J115" s="69"/>
      <c r="K115" s="5"/>
      <c r="L115" s="5"/>
      <c r="M115" s="5"/>
      <c r="N115" s="5"/>
    </row>
    <row r="116" spans="2:14" ht="15.75" customHeight="1">
      <c r="B116" s="58">
        <f>'Tabulation Sheet'!B116</f>
        <v>0</v>
      </c>
      <c r="C116" s="66">
        <f>'Tabulation Sheet'!C116</f>
        <v>0</v>
      </c>
      <c r="D116" s="4">
        <f>'Tabulation Sheet'!D116</f>
        <v>0</v>
      </c>
      <c r="E116" s="4">
        <f>'Tabulation Sheet'!E116</f>
        <v>0</v>
      </c>
      <c r="F116" s="4">
        <f>'Tabulation Sheet'!F116</f>
        <v>0</v>
      </c>
      <c r="G116" s="69"/>
      <c r="H116" s="69"/>
      <c r="I116" s="69"/>
      <c r="J116" s="69"/>
      <c r="K116" s="5"/>
      <c r="L116" s="5"/>
      <c r="M116" s="5"/>
      <c r="N116" s="5"/>
    </row>
    <row r="117" spans="2:14" ht="15.75" customHeight="1">
      <c r="B117" s="58">
        <f>'Tabulation Sheet'!B117</f>
        <v>0</v>
      </c>
      <c r="C117" s="66">
        <f>'Tabulation Sheet'!C117</f>
        <v>0</v>
      </c>
      <c r="D117" s="4">
        <f>'Tabulation Sheet'!D117</f>
        <v>0</v>
      </c>
      <c r="E117" s="4">
        <f>'Tabulation Sheet'!E117</f>
        <v>0</v>
      </c>
      <c r="F117" s="4">
        <f>'Tabulation Sheet'!F117</f>
        <v>0</v>
      </c>
      <c r="G117" s="69"/>
      <c r="H117" s="69"/>
      <c r="I117" s="69"/>
      <c r="J117" s="69"/>
      <c r="K117" s="5"/>
      <c r="L117" s="5"/>
      <c r="M117" s="5"/>
      <c r="N117" s="5"/>
    </row>
    <row r="118" spans="2:14" ht="15.75" customHeight="1">
      <c r="B118" s="58">
        <f>'Tabulation Sheet'!B118</f>
        <v>0</v>
      </c>
      <c r="C118" s="66">
        <f>'Tabulation Sheet'!C118</f>
        <v>0</v>
      </c>
      <c r="D118" s="4">
        <f>'Tabulation Sheet'!D118</f>
        <v>0</v>
      </c>
      <c r="E118" s="4">
        <f>'Tabulation Sheet'!E118</f>
        <v>0</v>
      </c>
      <c r="F118" s="4">
        <f>'Tabulation Sheet'!F118</f>
        <v>0</v>
      </c>
      <c r="G118" s="69"/>
      <c r="H118" s="69"/>
      <c r="I118" s="69"/>
      <c r="J118" s="69"/>
      <c r="K118" s="5"/>
      <c r="L118" s="5"/>
      <c r="M118" s="5"/>
      <c r="N118" s="5"/>
    </row>
    <row r="119" spans="2:14" ht="15.75" customHeight="1">
      <c r="B119" s="58">
        <f>'Tabulation Sheet'!B119</f>
        <v>0</v>
      </c>
      <c r="C119" s="66">
        <f>'Tabulation Sheet'!C119</f>
        <v>0</v>
      </c>
      <c r="D119" s="4">
        <f>'Tabulation Sheet'!D119</f>
        <v>0</v>
      </c>
      <c r="E119" s="4">
        <f>'Tabulation Sheet'!E119</f>
        <v>0</v>
      </c>
      <c r="F119" s="4">
        <f>'Tabulation Sheet'!F119</f>
        <v>0</v>
      </c>
      <c r="G119" s="69"/>
      <c r="H119" s="69"/>
      <c r="I119" s="69"/>
      <c r="J119" s="69"/>
      <c r="K119" s="5"/>
      <c r="L119" s="5"/>
      <c r="M119" s="5"/>
      <c r="N119" s="5"/>
    </row>
    <row r="120" spans="2:14" ht="15.75" customHeight="1">
      <c r="B120" s="58">
        <f>'Tabulation Sheet'!B120</f>
        <v>0</v>
      </c>
      <c r="C120" s="66">
        <f>'Tabulation Sheet'!C120</f>
        <v>0</v>
      </c>
      <c r="D120" s="4">
        <f>'Tabulation Sheet'!D120</f>
        <v>0</v>
      </c>
      <c r="E120" s="4">
        <f>'Tabulation Sheet'!E120</f>
        <v>0</v>
      </c>
      <c r="F120" s="4">
        <f>'Tabulation Sheet'!F120</f>
        <v>0</v>
      </c>
      <c r="G120" s="69"/>
      <c r="H120" s="69"/>
      <c r="I120" s="69"/>
      <c r="J120" s="69"/>
      <c r="K120" s="5"/>
      <c r="L120" s="5"/>
      <c r="M120" s="5"/>
      <c r="N120" s="5"/>
    </row>
    <row r="121" spans="2:14" ht="15.75" customHeight="1">
      <c r="B121" s="58">
        <f>'Tabulation Sheet'!B121</f>
        <v>0</v>
      </c>
      <c r="C121" s="66">
        <f>'Tabulation Sheet'!C121</f>
        <v>0</v>
      </c>
      <c r="D121" s="4">
        <f>'Tabulation Sheet'!D121</f>
        <v>0</v>
      </c>
      <c r="E121" s="4">
        <f>'Tabulation Sheet'!E121</f>
        <v>0</v>
      </c>
      <c r="F121" s="4">
        <f>'Tabulation Sheet'!F121</f>
        <v>0</v>
      </c>
      <c r="G121" s="69"/>
      <c r="H121" s="69"/>
      <c r="I121" s="69"/>
      <c r="J121" s="69"/>
      <c r="K121" s="5"/>
      <c r="L121" s="5"/>
      <c r="M121" s="5"/>
      <c r="N121" s="5"/>
    </row>
    <row r="122" spans="2:14" ht="15.75" customHeight="1">
      <c r="B122" s="58">
        <f>'Tabulation Sheet'!B122</f>
        <v>0</v>
      </c>
      <c r="C122" s="66">
        <f>'Tabulation Sheet'!C122</f>
        <v>0</v>
      </c>
      <c r="D122" s="4">
        <f>'Tabulation Sheet'!D122</f>
        <v>0</v>
      </c>
      <c r="E122" s="4">
        <f>'Tabulation Sheet'!E122</f>
        <v>0</v>
      </c>
      <c r="F122" s="4">
        <f>'Tabulation Sheet'!F122</f>
        <v>0</v>
      </c>
      <c r="G122" s="69"/>
      <c r="H122" s="69"/>
      <c r="I122" s="69"/>
      <c r="J122" s="69"/>
      <c r="K122" s="5"/>
      <c r="L122" s="5"/>
      <c r="M122" s="5"/>
      <c r="N122" s="5"/>
    </row>
    <row r="123" spans="2:14" ht="15.75" customHeight="1">
      <c r="B123" s="58">
        <f>'Tabulation Sheet'!B123</f>
        <v>0</v>
      </c>
      <c r="C123" s="66">
        <f>'Tabulation Sheet'!C123</f>
        <v>0</v>
      </c>
      <c r="D123" s="4">
        <f>'Tabulation Sheet'!D123</f>
        <v>0</v>
      </c>
      <c r="E123" s="4">
        <f>'Tabulation Sheet'!E123</f>
        <v>0</v>
      </c>
      <c r="F123" s="4">
        <f>'Tabulation Sheet'!F123</f>
        <v>0</v>
      </c>
      <c r="G123" s="69"/>
      <c r="H123" s="69"/>
      <c r="I123" s="69"/>
      <c r="J123" s="69"/>
      <c r="K123" s="5"/>
      <c r="L123" s="5"/>
      <c r="M123" s="5"/>
      <c r="N123" s="5"/>
    </row>
    <row r="124" spans="2:14" ht="15.75" customHeight="1">
      <c r="B124" s="58">
        <f>'Tabulation Sheet'!B124</f>
        <v>0</v>
      </c>
      <c r="C124" s="66">
        <f>'Tabulation Sheet'!C124</f>
        <v>0</v>
      </c>
      <c r="D124" s="4">
        <f>'Tabulation Sheet'!D124</f>
        <v>0</v>
      </c>
      <c r="E124" s="4">
        <f>'Tabulation Sheet'!E124</f>
        <v>0</v>
      </c>
      <c r="F124" s="4">
        <f>'Tabulation Sheet'!F124</f>
        <v>0</v>
      </c>
      <c r="G124" s="69"/>
      <c r="H124" s="69"/>
      <c r="I124" s="69"/>
      <c r="J124" s="69"/>
      <c r="K124" s="5"/>
      <c r="L124" s="5"/>
      <c r="M124" s="5"/>
      <c r="N124" s="5"/>
    </row>
    <row r="125" spans="2:14" ht="15.75" customHeight="1">
      <c r="B125" s="58">
        <f>'Tabulation Sheet'!B125</f>
        <v>0</v>
      </c>
      <c r="C125" s="66">
        <f>'Tabulation Sheet'!C125</f>
        <v>0</v>
      </c>
      <c r="D125" s="4">
        <f>'Tabulation Sheet'!D125</f>
        <v>0</v>
      </c>
      <c r="E125" s="4">
        <f>'Tabulation Sheet'!E125</f>
        <v>0</v>
      </c>
      <c r="F125" s="4">
        <f>'Tabulation Sheet'!F125</f>
        <v>0</v>
      </c>
      <c r="G125" s="69"/>
      <c r="H125" s="69"/>
      <c r="I125" s="69"/>
      <c r="J125" s="69"/>
      <c r="K125" s="5"/>
      <c r="L125" s="5"/>
      <c r="M125" s="5"/>
      <c r="N125" s="5"/>
    </row>
    <row r="126" spans="2:14" ht="15.75" customHeight="1">
      <c r="B126" s="58">
        <f>'Tabulation Sheet'!B126</f>
        <v>0</v>
      </c>
      <c r="C126" s="66">
        <f>'Tabulation Sheet'!C126</f>
        <v>0</v>
      </c>
      <c r="D126" s="4">
        <f>'Tabulation Sheet'!D126</f>
        <v>0</v>
      </c>
      <c r="E126" s="4">
        <f>'Tabulation Sheet'!E126</f>
        <v>0</v>
      </c>
      <c r="F126" s="4">
        <f>'Tabulation Sheet'!F126</f>
        <v>0</v>
      </c>
      <c r="G126" s="69"/>
      <c r="H126" s="69"/>
      <c r="I126" s="69"/>
      <c r="J126" s="69"/>
      <c r="K126" s="5"/>
      <c r="L126" s="5"/>
      <c r="M126" s="5"/>
      <c r="N126" s="5"/>
    </row>
    <row r="127" spans="2:14" ht="15.75" customHeight="1">
      <c r="B127" s="58">
        <f>'Tabulation Sheet'!B127</f>
        <v>0</v>
      </c>
      <c r="C127" s="66">
        <f>'Tabulation Sheet'!C127</f>
        <v>0</v>
      </c>
      <c r="D127" s="4">
        <f>'Tabulation Sheet'!D127</f>
        <v>0</v>
      </c>
      <c r="E127" s="4">
        <f>'Tabulation Sheet'!E127</f>
        <v>0</v>
      </c>
      <c r="F127" s="4">
        <f>'Tabulation Sheet'!F127</f>
        <v>0</v>
      </c>
      <c r="G127" s="69"/>
      <c r="H127" s="69"/>
      <c r="I127" s="69"/>
      <c r="J127" s="69"/>
      <c r="K127" s="5"/>
      <c r="L127" s="5"/>
      <c r="M127" s="5"/>
      <c r="N127" s="5"/>
    </row>
    <row r="128" spans="2:14" ht="15.75" customHeight="1">
      <c r="B128" s="58">
        <f>'Tabulation Sheet'!B128</f>
        <v>0</v>
      </c>
      <c r="C128" s="66">
        <f>'Tabulation Sheet'!C128</f>
        <v>0</v>
      </c>
      <c r="D128" s="4">
        <f>'Tabulation Sheet'!D128</f>
        <v>0</v>
      </c>
      <c r="E128" s="4">
        <f>'Tabulation Sheet'!E128</f>
        <v>0</v>
      </c>
      <c r="F128" s="4">
        <f>'Tabulation Sheet'!F128</f>
        <v>0</v>
      </c>
      <c r="G128" s="69"/>
      <c r="H128" s="69"/>
      <c r="I128" s="69"/>
      <c r="J128" s="69"/>
      <c r="K128" s="5"/>
      <c r="L128" s="5"/>
      <c r="M128" s="5"/>
      <c r="N128" s="5"/>
    </row>
    <row r="129" spans="2:14" ht="15.75" customHeight="1">
      <c r="B129" s="58">
        <f>'Tabulation Sheet'!B129</f>
        <v>0</v>
      </c>
      <c r="C129" s="66">
        <f>'Tabulation Sheet'!C129</f>
        <v>0</v>
      </c>
      <c r="D129" s="4">
        <f>'Tabulation Sheet'!D129</f>
        <v>0</v>
      </c>
      <c r="E129" s="4">
        <f>'Tabulation Sheet'!E129</f>
        <v>0</v>
      </c>
      <c r="F129" s="4">
        <f>'Tabulation Sheet'!F129</f>
        <v>0</v>
      </c>
      <c r="G129" s="69"/>
      <c r="H129" s="69"/>
      <c r="I129" s="69"/>
      <c r="J129" s="69"/>
      <c r="K129" s="5"/>
      <c r="L129" s="5"/>
      <c r="M129" s="5"/>
      <c r="N129" s="5"/>
    </row>
    <row r="130" spans="2:14" ht="15.75" customHeight="1">
      <c r="B130" s="58">
        <f>'Tabulation Sheet'!B130</f>
        <v>0</v>
      </c>
      <c r="C130" s="66">
        <f>'Tabulation Sheet'!C130</f>
        <v>0</v>
      </c>
      <c r="D130" s="4">
        <f>'Tabulation Sheet'!D130</f>
        <v>0</v>
      </c>
      <c r="E130" s="4">
        <f>'Tabulation Sheet'!E130</f>
        <v>0</v>
      </c>
      <c r="F130" s="4">
        <f>'Tabulation Sheet'!F130</f>
        <v>0</v>
      </c>
      <c r="G130" s="69"/>
      <c r="H130" s="69"/>
      <c r="I130" s="69"/>
      <c r="J130" s="69"/>
      <c r="K130" s="5"/>
      <c r="L130" s="5"/>
      <c r="M130" s="5"/>
      <c r="N130" s="5"/>
    </row>
    <row r="131" spans="2:14" ht="15.75" customHeight="1">
      <c r="B131" s="58">
        <f>'Tabulation Sheet'!B131</f>
        <v>0</v>
      </c>
      <c r="C131" s="66">
        <f>'Tabulation Sheet'!C131</f>
        <v>0</v>
      </c>
      <c r="D131" s="4">
        <f>'Tabulation Sheet'!D131</f>
        <v>0</v>
      </c>
      <c r="E131" s="4">
        <f>'Tabulation Sheet'!E131</f>
        <v>0</v>
      </c>
      <c r="F131" s="4">
        <f>'Tabulation Sheet'!F131</f>
        <v>0</v>
      </c>
      <c r="G131" s="69"/>
      <c r="H131" s="69"/>
      <c r="I131" s="69"/>
      <c r="J131" s="69"/>
      <c r="K131" s="5"/>
      <c r="L131" s="5"/>
      <c r="M131" s="5"/>
      <c r="N131" s="5"/>
    </row>
    <row r="132" spans="2:14" ht="15.75" customHeight="1">
      <c r="B132" s="58">
        <f>'Tabulation Sheet'!B132</f>
        <v>0</v>
      </c>
      <c r="C132" s="66">
        <f>'Tabulation Sheet'!C132</f>
        <v>0</v>
      </c>
      <c r="D132" s="4">
        <f>'Tabulation Sheet'!D132</f>
        <v>0</v>
      </c>
      <c r="E132" s="4">
        <f>'Tabulation Sheet'!E132</f>
        <v>0</v>
      </c>
      <c r="F132" s="4">
        <f>'Tabulation Sheet'!F132</f>
        <v>0</v>
      </c>
      <c r="G132" s="69"/>
      <c r="H132" s="69"/>
      <c r="I132" s="69"/>
      <c r="J132" s="69"/>
      <c r="K132" s="5"/>
      <c r="L132" s="5"/>
      <c r="M132" s="5"/>
      <c r="N132" s="5"/>
    </row>
    <row r="133" spans="2:14" ht="15.75" customHeight="1">
      <c r="B133" s="58">
        <f>'Tabulation Sheet'!B133</f>
        <v>0</v>
      </c>
      <c r="C133" s="66">
        <f>'Tabulation Sheet'!C133</f>
        <v>0</v>
      </c>
      <c r="D133" s="4">
        <f>'Tabulation Sheet'!D133</f>
        <v>0</v>
      </c>
      <c r="E133" s="4">
        <f>'Tabulation Sheet'!E133</f>
        <v>0</v>
      </c>
      <c r="F133" s="4">
        <f>'Tabulation Sheet'!F133</f>
        <v>0</v>
      </c>
      <c r="G133" s="69"/>
      <c r="H133" s="69"/>
      <c r="I133" s="69"/>
      <c r="J133" s="69"/>
      <c r="K133" s="5"/>
      <c r="L133" s="5"/>
      <c r="M133" s="5"/>
      <c r="N133" s="5"/>
    </row>
    <row r="134" spans="2:14" ht="15.75" customHeight="1">
      <c r="B134" s="58">
        <f>'Tabulation Sheet'!B134</f>
        <v>0</v>
      </c>
      <c r="C134" s="66">
        <f>'Tabulation Sheet'!C134</f>
        <v>0</v>
      </c>
      <c r="D134" s="4">
        <f>'Tabulation Sheet'!D134</f>
        <v>0</v>
      </c>
      <c r="E134" s="4">
        <f>'Tabulation Sheet'!E134</f>
        <v>0</v>
      </c>
      <c r="F134" s="4">
        <f>'Tabulation Sheet'!F134</f>
        <v>0</v>
      </c>
      <c r="G134" s="69"/>
      <c r="H134" s="69"/>
      <c r="I134" s="69"/>
      <c r="J134" s="69"/>
      <c r="K134" s="5"/>
      <c r="L134" s="5"/>
      <c r="M134" s="5"/>
      <c r="N134" s="5"/>
    </row>
    <row r="135" spans="2:14" ht="15.75" customHeight="1">
      <c r="B135" s="58">
        <f>'Tabulation Sheet'!B135</f>
        <v>0</v>
      </c>
      <c r="C135" s="66">
        <f>'Tabulation Sheet'!C135</f>
        <v>0</v>
      </c>
      <c r="D135" s="4">
        <f>'Tabulation Sheet'!D135</f>
        <v>0</v>
      </c>
      <c r="E135" s="4">
        <f>'Tabulation Sheet'!E135</f>
        <v>0</v>
      </c>
      <c r="F135" s="4">
        <f>'Tabulation Sheet'!F135</f>
        <v>0</v>
      </c>
      <c r="G135" s="69"/>
      <c r="H135" s="69"/>
      <c r="I135" s="69"/>
      <c r="J135" s="69"/>
      <c r="K135" s="5"/>
      <c r="L135" s="5"/>
      <c r="M135" s="5"/>
      <c r="N135" s="5"/>
    </row>
    <row r="136" spans="2:14" ht="15.75" customHeight="1">
      <c r="B136" s="58">
        <f>'Tabulation Sheet'!B136</f>
        <v>0</v>
      </c>
      <c r="C136" s="66">
        <f>'Tabulation Sheet'!C136</f>
        <v>0</v>
      </c>
      <c r="D136" s="4">
        <f>'Tabulation Sheet'!D136</f>
        <v>0</v>
      </c>
      <c r="E136" s="4">
        <f>'Tabulation Sheet'!E136</f>
        <v>0</v>
      </c>
      <c r="F136" s="4">
        <f>'Tabulation Sheet'!F136</f>
        <v>0</v>
      </c>
      <c r="G136" s="69"/>
      <c r="H136" s="69"/>
      <c r="I136" s="69"/>
      <c r="J136" s="69"/>
      <c r="K136" s="5"/>
      <c r="L136" s="5"/>
      <c r="M136" s="5"/>
      <c r="N136" s="5"/>
    </row>
    <row r="137" spans="2:14" ht="15.75" customHeight="1">
      <c r="B137" s="58">
        <f>'Tabulation Sheet'!B137</f>
        <v>0</v>
      </c>
      <c r="C137" s="66">
        <f>'Tabulation Sheet'!C137</f>
        <v>0</v>
      </c>
      <c r="D137" s="4">
        <f>'Tabulation Sheet'!D137</f>
        <v>0</v>
      </c>
      <c r="E137" s="4">
        <f>'Tabulation Sheet'!E137</f>
        <v>0</v>
      </c>
      <c r="F137" s="4">
        <f>'Tabulation Sheet'!F137</f>
        <v>0</v>
      </c>
      <c r="G137" s="69"/>
      <c r="H137" s="69"/>
      <c r="I137" s="69"/>
      <c r="J137" s="69"/>
      <c r="K137" s="5"/>
      <c r="L137" s="5"/>
      <c r="M137" s="5"/>
      <c r="N137" s="5"/>
    </row>
    <row r="138" spans="2:14" ht="15.75" customHeight="1">
      <c r="B138" s="58">
        <f>'Tabulation Sheet'!B138</f>
        <v>0</v>
      </c>
      <c r="C138" s="66">
        <f>'Tabulation Sheet'!C138</f>
        <v>0</v>
      </c>
      <c r="D138" s="4">
        <f>'Tabulation Sheet'!D138</f>
        <v>0</v>
      </c>
      <c r="E138" s="4">
        <f>'Tabulation Sheet'!E138</f>
        <v>0</v>
      </c>
      <c r="F138" s="4">
        <f>'Tabulation Sheet'!F138</f>
        <v>0</v>
      </c>
      <c r="G138" s="69"/>
      <c r="H138" s="69"/>
      <c r="I138" s="69"/>
      <c r="J138" s="69"/>
      <c r="K138" s="5"/>
      <c r="L138" s="5"/>
      <c r="M138" s="5"/>
      <c r="N138" s="5"/>
    </row>
    <row r="139" spans="2:14" ht="15.75" customHeight="1">
      <c r="B139" s="58">
        <f>'Tabulation Sheet'!B139</f>
        <v>0</v>
      </c>
      <c r="C139" s="66">
        <f>'Tabulation Sheet'!C139</f>
        <v>0</v>
      </c>
      <c r="D139" s="4">
        <f>'Tabulation Sheet'!D139</f>
        <v>0</v>
      </c>
      <c r="E139" s="4">
        <f>'Tabulation Sheet'!E139</f>
        <v>0</v>
      </c>
      <c r="F139" s="4">
        <f>'Tabulation Sheet'!F139</f>
        <v>0</v>
      </c>
      <c r="G139" s="69"/>
      <c r="H139" s="69"/>
      <c r="I139" s="69"/>
      <c r="J139" s="69"/>
      <c r="K139" s="5"/>
      <c r="L139" s="5"/>
      <c r="M139" s="5"/>
      <c r="N139" s="5"/>
    </row>
    <row r="140" spans="2:14" ht="15.75" customHeight="1">
      <c r="B140" s="58">
        <f>'Tabulation Sheet'!B140</f>
        <v>0</v>
      </c>
      <c r="C140" s="66">
        <f>'Tabulation Sheet'!C140</f>
        <v>0</v>
      </c>
      <c r="D140" s="4">
        <f>'Tabulation Sheet'!D140</f>
        <v>0</v>
      </c>
      <c r="E140" s="4">
        <f>'Tabulation Sheet'!E140</f>
        <v>0</v>
      </c>
      <c r="F140" s="4">
        <f>'Tabulation Sheet'!F140</f>
        <v>0</v>
      </c>
      <c r="G140" s="69"/>
      <c r="H140" s="69"/>
      <c r="I140" s="69"/>
      <c r="J140" s="69"/>
      <c r="K140" s="5"/>
      <c r="L140" s="5"/>
      <c r="M140" s="5"/>
      <c r="N140" s="5"/>
    </row>
    <row r="141" spans="2:14" ht="15.75" customHeight="1">
      <c r="B141" s="58">
        <f>'Tabulation Sheet'!B141</f>
        <v>0</v>
      </c>
      <c r="C141" s="66">
        <f>'Tabulation Sheet'!C141</f>
        <v>0</v>
      </c>
      <c r="D141" s="4">
        <f>'Tabulation Sheet'!D141</f>
        <v>0</v>
      </c>
      <c r="E141" s="4">
        <f>'Tabulation Sheet'!E141</f>
        <v>0</v>
      </c>
      <c r="F141" s="4">
        <f>'Tabulation Sheet'!F141</f>
        <v>0</v>
      </c>
      <c r="G141" s="69"/>
      <c r="H141" s="69"/>
      <c r="I141" s="69"/>
      <c r="J141" s="69"/>
      <c r="K141" s="5"/>
      <c r="L141" s="5"/>
      <c r="M141" s="5"/>
      <c r="N141" s="5"/>
    </row>
    <row r="142" spans="2:14" ht="15.75" customHeight="1">
      <c r="B142" s="58">
        <f>'Tabulation Sheet'!B142</f>
        <v>0</v>
      </c>
      <c r="C142" s="66">
        <f>'Tabulation Sheet'!C142</f>
        <v>0</v>
      </c>
      <c r="D142" s="4">
        <f>'Tabulation Sheet'!D142</f>
        <v>0</v>
      </c>
      <c r="E142" s="4">
        <f>'Tabulation Sheet'!E142</f>
        <v>0</v>
      </c>
      <c r="F142" s="4">
        <f>'Tabulation Sheet'!F142</f>
        <v>0</v>
      </c>
      <c r="G142" s="69"/>
      <c r="H142" s="69"/>
      <c r="I142" s="69"/>
      <c r="J142" s="69"/>
      <c r="K142" s="5"/>
      <c r="L142" s="5"/>
      <c r="M142" s="5"/>
      <c r="N142" s="5"/>
    </row>
    <row r="143" spans="2:14" ht="15.75" customHeight="1">
      <c r="B143" s="58">
        <f>'Tabulation Sheet'!B143</f>
        <v>0</v>
      </c>
      <c r="C143" s="66">
        <f>'Tabulation Sheet'!C143</f>
        <v>0</v>
      </c>
      <c r="D143" s="4">
        <f>'Tabulation Sheet'!D143</f>
        <v>0</v>
      </c>
      <c r="E143" s="4">
        <f>'Tabulation Sheet'!E143</f>
        <v>0</v>
      </c>
      <c r="F143" s="4">
        <f>'Tabulation Sheet'!F143</f>
        <v>0</v>
      </c>
      <c r="G143" s="69"/>
      <c r="H143" s="69"/>
      <c r="I143" s="69"/>
      <c r="J143" s="69"/>
      <c r="K143" s="5"/>
      <c r="L143" s="5"/>
      <c r="M143" s="5"/>
      <c r="N143" s="5"/>
    </row>
    <row r="144" spans="2:14" ht="15.75" customHeight="1">
      <c r="B144" s="58">
        <f>'Tabulation Sheet'!B144</f>
        <v>0</v>
      </c>
      <c r="C144" s="66">
        <f>'Tabulation Sheet'!C144</f>
        <v>0</v>
      </c>
      <c r="D144" s="4">
        <f>'Tabulation Sheet'!D144</f>
        <v>0</v>
      </c>
      <c r="E144" s="4">
        <f>'Tabulation Sheet'!E144</f>
        <v>0</v>
      </c>
      <c r="F144" s="4">
        <f>'Tabulation Sheet'!F144</f>
        <v>0</v>
      </c>
      <c r="G144" s="69"/>
      <c r="H144" s="69"/>
      <c r="I144" s="69"/>
      <c r="J144" s="69"/>
      <c r="K144" s="5"/>
      <c r="L144" s="5"/>
      <c r="M144" s="5"/>
      <c r="N144" s="5"/>
    </row>
    <row r="145" spans="2:14" ht="15.75" customHeight="1">
      <c r="B145" s="58">
        <f>'Tabulation Sheet'!B145</f>
        <v>0</v>
      </c>
      <c r="C145" s="66">
        <f>'Tabulation Sheet'!C145</f>
        <v>0</v>
      </c>
      <c r="D145" s="4">
        <f>'Tabulation Sheet'!D145</f>
        <v>0</v>
      </c>
      <c r="E145" s="4">
        <f>'Tabulation Sheet'!E145</f>
        <v>0</v>
      </c>
      <c r="F145" s="4">
        <f>'Tabulation Sheet'!F145</f>
        <v>0</v>
      </c>
      <c r="G145" s="69"/>
      <c r="H145" s="69"/>
      <c r="I145" s="69"/>
      <c r="J145" s="69"/>
      <c r="K145" s="5"/>
      <c r="L145" s="5"/>
      <c r="M145" s="5"/>
      <c r="N145" s="5"/>
    </row>
    <row r="146" spans="2:14" ht="15.75" customHeight="1">
      <c r="B146" s="58">
        <f>'Tabulation Sheet'!B146</f>
        <v>0</v>
      </c>
      <c r="C146" s="66">
        <f>'Tabulation Sheet'!C146</f>
        <v>0</v>
      </c>
      <c r="D146" s="4">
        <f>'Tabulation Sheet'!D146</f>
        <v>0</v>
      </c>
      <c r="E146" s="4">
        <f>'Tabulation Sheet'!E146</f>
        <v>0</v>
      </c>
      <c r="F146" s="4">
        <f>'Tabulation Sheet'!F146</f>
        <v>0</v>
      </c>
      <c r="G146" s="69"/>
      <c r="H146" s="69"/>
      <c r="I146" s="69"/>
      <c r="J146" s="69"/>
      <c r="K146" s="5"/>
      <c r="L146" s="5"/>
      <c r="M146" s="5"/>
      <c r="N146" s="5"/>
    </row>
    <row r="147" spans="2:14" ht="15.75" customHeight="1">
      <c r="B147" s="58">
        <f>'Tabulation Sheet'!B147</f>
        <v>0</v>
      </c>
      <c r="C147" s="66">
        <f>'Tabulation Sheet'!C147</f>
        <v>0</v>
      </c>
      <c r="D147" s="4">
        <f>'Tabulation Sheet'!D147</f>
        <v>0</v>
      </c>
      <c r="E147" s="4">
        <f>'Tabulation Sheet'!E147</f>
        <v>0</v>
      </c>
      <c r="F147" s="4">
        <f>'Tabulation Sheet'!F147</f>
        <v>0</v>
      </c>
      <c r="G147" s="69"/>
      <c r="H147" s="69"/>
      <c r="I147" s="69"/>
      <c r="J147" s="69"/>
      <c r="K147" s="5"/>
      <c r="L147" s="5"/>
      <c r="M147" s="5"/>
      <c r="N147" s="5"/>
    </row>
    <row r="148" spans="2:14" ht="15.75" customHeight="1">
      <c r="B148" s="58">
        <f>'Tabulation Sheet'!B148</f>
        <v>0</v>
      </c>
      <c r="C148" s="66">
        <f>'Tabulation Sheet'!C148</f>
        <v>0</v>
      </c>
      <c r="D148" s="4">
        <f>'Tabulation Sheet'!D148</f>
        <v>0</v>
      </c>
      <c r="E148" s="4">
        <f>'Tabulation Sheet'!E148</f>
        <v>0</v>
      </c>
      <c r="F148" s="4">
        <f>'Tabulation Sheet'!F148</f>
        <v>0</v>
      </c>
      <c r="G148" s="69"/>
      <c r="H148" s="69"/>
      <c r="I148" s="69"/>
      <c r="J148" s="69"/>
      <c r="K148" s="5"/>
      <c r="L148" s="5"/>
      <c r="M148" s="5"/>
      <c r="N148" s="5"/>
    </row>
    <row r="149" spans="2:14" ht="15.75" customHeight="1">
      <c r="B149" s="58">
        <f>'Tabulation Sheet'!B149</f>
        <v>0</v>
      </c>
      <c r="C149" s="66">
        <f>'Tabulation Sheet'!C149</f>
        <v>0</v>
      </c>
      <c r="D149" s="4">
        <f>'Tabulation Sheet'!D149</f>
        <v>0</v>
      </c>
      <c r="E149" s="4">
        <f>'Tabulation Sheet'!E149</f>
        <v>0</v>
      </c>
      <c r="F149" s="4">
        <f>'Tabulation Sheet'!F149</f>
        <v>0</v>
      </c>
      <c r="G149" s="69"/>
      <c r="H149" s="69"/>
      <c r="I149" s="69"/>
      <c r="J149" s="69"/>
      <c r="K149" s="5"/>
      <c r="L149" s="5"/>
      <c r="M149" s="5"/>
      <c r="N149" s="5"/>
    </row>
    <row r="150" spans="2:14" ht="15.75" customHeight="1">
      <c r="B150" s="58">
        <f>'Tabulation Sheet'!B150</f>
        <v>0</v>
      </c>
      <c r="C150" s="66">
        <f>'Tabulation Sheet'!C150</f>
        <v>0</v>
      </c>
      <c r="D150" s="4">
        <f>'Tabulation Sheet'!D150</f>
        <v>0</v>
      </c>
      <c r="E150" s="4">
        <f>'Tabulation Sheet'!E150</f>
        <v>0</v>
      </c>
      <c r="F150" s="4">
        <f>'Tabulation Sheet'!F150</f>
        <v>0</v>
      </c>
      <c r="G150" s="69"/>
      <c r="H150" s="69"/>
      <c r="I150" s="69"/>
      <c r="J150" s="69"/>
      <c r="K150" s="5"/>
      <c r="L150" s="5"/>
      <c r="M150" s="5"/>
      <c r="N150" s="5"/>
    </row>
    <row r="151" spans="2:14" ht="15.75" customHeight="1">
      <c r="B151" s="58">
        <f>'Tabulation Sheet'!B151</f>
        <v>0</v>
      </c>
      <c r="C151" s="66">
        <f>'Tabulation Sheet'!C151</f>
        <v>0</v>
      </c>
      <c r="D151" s="4">
        <f>'Tabulation Sheet'!D151</f>
        <v>0</v>
      </c>
      <c r="E151" s="4">
        <f>'Tabulation Sheet'!E151</f>
        <v>0</v>
      </c>
      <c r="F151" s="4">
        <f>'Tabulation Sheet'!F151</f>
        <v>0</v>
      </c>
      <c r="G151" s="69"/>
      <c r="H151" s="69"/>
      <c r="I151" s="69"/>
      <c r="J151" s="69"/>
      <c r="K151" s="5"/>
      <c r="L151" s="5"/>
      <c r="M151" s="5"/>
      <c r="N151" s="5"/>
    </row>
    <row r="152" spans="2:14" ht="15.75" customHeight="1">
      <c r="B152" s="58">
        <f>'Tabulation Sheet'!B152</f>
        <v>0</v>
      </c>
      <c r="C152" s="66">
        <f>'Tabulation Sheet'!C152</f>
        <v>0</v>
      </c>
      <c r="D152" s="4">
        <f>'Tabulation Sheet'!D152</f>
        <v>0</v>
      </c>
      <c r="E152" s="4">
        <f>'Tabulation Sheet'!E152</f>
        <v>0</v>
      </c>
      <c r="F152" s="4">
        <f>'Tabulation Sheet'!F152</f>
        <v>0</v>
      </c>
      <c r="G152" s="69"/>
      <c r="H152" s="69"/>
      <c r="I152" s="69"/>
      <c r="J152" s="69"/>
      <c r="K152" s="5"/>
      <c r="L152" s="5"/>
      <c r="M152" s="5"/>
      <c r="N152" s="5"/>
    </row>
    <row r="153" spans="2:14" ht="15.75" customHeight="1">
      <c r="B153" s="58">
        <f>'Tabulation Sheet'!B153</f>
        <v>0</v>
      </c>
      <c r="C153" s="66">
        <f>'Tabulation Sheet'!C153</f>
        <v>0</v>
      </c>
      <c r="D153" s="4">
        <f>'Tabulation Sheet'!D153</f>
        <v>0</v>
      </c>
      <c r="E153" s="4">
        <f>'Tabulation Sheet'!E153</f>
        <v>0</v>
      </c>
      <c r="F153" s="4">
        <f>'Tabulation Sheet'!F153</f>
        <v>0</v>
      </c>
      <c r="G153" s="69"/>
      <c r="H153" s="69"/>
      <c r="I153" s="69"/>
      <c r="J153" s="69"/>
      <c r="K153" s="5"/>
      <c r="L153" s="5"/>
      <c r="M153" s="5"/>
      <c r="N153" s="5"/>
    </row>
    <row r="154" spans="2:14" ht="15.75" customHeight="1">
      <c r="B154" s="58">
        <f>'Tabulation Sheet'!B154</f>
        <v>0</v>
      </c>
      <c r="C154" s="66">
        <f>'Tabulation Sheet'!C154</f>
        <v>0</v>
      </c>
      <c r="D154" s="4">
        <f>'Tabulation Sheet'!D154</f>
        <v>0</v>
      </c>
      <c r="E154" s="4">
        <f>'Tabulation Sheet'!E154</f>
        <v>0</v>
      </c>
      <c r="F154" s="4">
        <f>'Tabulation Sheet'!F154</f>
        <v>0</v>
      </c>
      <c r="G154" s="69"/>
      <c r="H154" s="69"/>
      <c r="I154" s="69"/>
      <c r="J154" s="69"/>
      <c r="K154" s="5"/>
      <c r="L154" s="5"/>
      <c r="M154" s="5"/>
      <c r="N154" s="5"/>
    </row>
    <row r="155" spans="2:14" ht="15.75" customHeight="1">
      <c r="B155" s="58">
        <f>'Tabulation Sheet'!B155</f>
        <v>0</v>
      </c>
      <c r="C155" s="66">
        <f>'Tabulation Sheet'!C155</f>
        <v>0</v>
      </c>
      <c r="D155" s="4">
        <f>'Tabulation Sheet'!D155</f>
        <v>0</v>
      </c>
      <c r="E155" s="4">
        <f>'Tabulation Sheet'!E155</f>
        <v>0</v>
      </c>
      <c r="F155" s="4">
        <f>'Tabulation Sheet'!F155</f>
        <v>0</v>
      </c>
      <c r="G155" s="69"/>
      <c r="H155" s="69"/>
      <c r="I155" s="69"/>
      <c r="J155" s="69"/>
      <c r="K155" s="5"/>
      <c r="L155" s="5"/>
      <c r="M155" s="5"/>
      <c r="N155" s="5"/>
    </row>
    <row r="156" spans="2:14" ht="15.75" customHeight="1">
      <c r="B156" s="58">
        <f>'Tabulation Sheet'!B156</f>
        <v>0</v>
      </c>
      <c r="C156" s="66">
        <f>'Tabulation Sheet'!C156</f>
        <v>0</v>
      </c>
      <c r="D156" s="4">
        <f>'Tabulation Sheet'!D156</f>
        <v>0</v>
      </c>
      <c r="E156" s="4">
        <f>'Tabulation Sheet'!E156</f>
        <v>0</v>
      </c>
      <c r="F156" s="4">
        <f>'Tabulation Sheet'!F156</f>
        <v>0</v>
      </c>
      <c r="G156" s="69"/>
      <c r="H156" s="69"/>
      <c r="I156" s="69"/>
      <c r="J156" s="69"/>
      <c r="K156" s="5"/>
      <c r="L156" s="5"/>
      <c r="M156" s="5"/>
      <c r="N156" s="5"/>
    </row>
    <row r="157" spans="2:14" ht="15.75" customHeight="1">
      <c r="B157" s="58">
        <f>'Tabulation Sheet'!B157</f>
        <v>0</v>
      </c>
      <c r="C157" s="66">
        <f>'Tabulation Sheet'!C157</f>
        <v>0</v>
      </c>
      <c r="D157" s="4">
        <f>'Tabulation Sheet'!D157</f>
        <v>0</v>
      </c>
      <c r="E157" s="4">
        <f>'Tabulation Sheet'!E157</f>
        <v>0</v>
      </c>
      <c r="F157" s="4">
        <f>'Tabulation Sheet'!F157</f>
        <v>0</v>
      </c>
      <c r="G157" s="69"/>
      <c r="H157" s="69"/>
      <c r="I157" s="69"/>
      <c r="J157" s="69"/>
      <c r="K157" s="5"/>
      <c r="L157" s="5"/>
      <c r="M157" s="5"/>
      <c r="N157" s="5"/>
    </row>
    <row r="158" spans="2:14" ht="15.75" customHeight="1">
      <c r="B158" s="58">
        <f>'Tabulation Sheet'!B158</f>
        <v>0</v>
      </c>
      <c r="C158" s="66">
        <f>'Tabulation Sheet'!C158</f>
        <v>0</v>
      </c>
      <c r="D158" s="4">
        <f>'Tabulation Sheet'!D158</f>
        <v>0</v>
      </c>
      <c r="E158" s="4">
        <f>'Tabulation Sheet'!E158</f>
        <v>0</v>
      </c>
      <c r="F158" s="4">
        <f>'Tabulation Sheet'!F158</f>
        <v>0</v>
      </c>
      <c r="G158" s="69"/>
      <c r="H158" s="69"/>
      <c r="I158" s="69"/>
      <c r="J158" s="69"/>
      <c r="K158" s="5"/>
      <c r="L158" s="5"/>
      <c r="M158" s="5"/>
      <c r="N158" s="5"/>
    </row>
    <row r="159" spans="2:14" ht="15.75" customHeight="1">
      <c r="B159" s="58">
        <f>'Tabulation Sheet'!B159</f>
        <v>0</v>
      </c>
      <c r="C159" s="66">
        <f>'Tabulation Sheet'!C159</f>
        <v>0</v>
      </c>
      <c r="D159" s="4">
        <f>'Tabulation Sheet'!D159</f>
        <v>0</v>
      </c>
      <c r="E159" s="4">
        <f>'Tabulation Sheet'!E159</f>
        <v>0</v>
      </c>
      <c r="F159" s="4">
        <f>'Tabulation Sheet'!F159</f>
        <v>0</v>
      </c>
      <c r="G159" s="69"/>
      <c r="H159" s="69"/>
      <c r="I159" s="69"/>
      <c r="J159" s="69"/>
      <c r="K159" s="5"/>
      <c r="L159" s="5"/>
      <c r="M159" s="5"/>
      <c r="N159" s="5"/>
    </row>
    <row r="160" spans="2:14" ht="15.75" customHeight="1">
      <c r="B160" s="58">
        <f>'Tabulation Sheet'!B160</f>
        <v>0</v>
      </c>
      <c r="C160" s="66">
        <f>'Tabulation Sheet'!C160</f>
        <v>0</v>
      </c>
      <c r="D160" s="4">
        <f>'Tabulation Sheet'!D160</f>
        <v>0</v>
      </c>
      <c r="E160" s="4">
        <f>'Tabulation Sheet'!E160</f>
        <v>0</v>
      </c>
      <c r="F160" s="4">
        <f>'Tabulation Sheet'!F160</f>
        <v>0</v>
      </c>
      <c r="G160" s="69"/>
      <c r="H160" s="69"/>
      <c r="I160" s="69"/>
      <c r="J160" s="69"/>
      <c r="K160" s="5"/>
      <c r="L160" s="5"/>
      <c r="M160" s="5"/>
      <c r="N160" s="5"/>
    </row>
    <row r="161" spans="2:14" ht="15.75" customHeight="1">
      <c r="B161" s="58">
        <f>'Tabulation Sheet'!B161</f>
        <v>0</v>
      </c>
      <c r="C161" s="66">
        <f>'Tabulation Sheet'!C161</f>
        <v>0</v>
      </c>
      <c r="D161" s="4">
        <f>'Tabulation Sheet'!D161</f>
        <v>0</v>
      </c>
      <c r="E161" s="4">
        <f>'Tabulation Sheet'!E161</f>
        <v>0</v>
      </c>
      <c r="F161" s="4">
        <f>'Tabulation Sheet'!F161</f>
        <v>0</v>
      </c>
      <c r="G161" s="69"/>
      <c r="H161" s="69"/>
      <c r="I161" s="69"/>
      <c r="J161" s="69"/>
      <c r="K161" s="5"/>
      <c r="L161" s="5"/>
      <c r="M161" s="5"/>
      <c r="N161" s="5"/>
    </row>
    <row r="162" spans="2:14" ht="15.75" customHeight="1">
      <c r="B162" s="58">
        <f>'Tabulation Sheet'!B162</f>
        <v>0</v>
      </c>
      <c r="C162" s="66">
        <f>'Tabulation Sheet'!C162</f>
        <v>0</v>
      </c>
      <c r="D162" s="4">
        <f>'Tabulation Sheet'!D162</f>
        <v>0</v>
      </c>
      <c r="E162" s="4">
        <f>'Tabulation Sheet'!E162</f>
        <v>0</v>
      </c>
      <c r="F162" s="4">
        <f>'Tabulation Sheet'!F162</f>
        <v>0</v>
      </c>
      <c r="G162" s="69"/>
      <c r="H162" s="69"/>
      <c r="I162" s="69"/>
      <c r="J162" s="69"/>
      <c r="K162" s="5"/>
      <c r="L162" s="5"/>
      <c r="M162" s="5"/>
      <c r="N162" s="5"/>
    </row>
    <row r="163" spans="2:14" ht="15.75" customHeight="1">
      <c r="B163" s="58">
        <f>'Tabulation Sheet'!B163</f>
        <v>0</v>
      </c>
      <c r="C163" s="66">
        <f>'Tabulation Sheet'!C163</f>
        <v>0</v>
      </c>
      <c r="D163" s="4">
        <f>'Tabulation Sheet'!D163</f>
        <v>0</v>
      </c>
      <c r="E163" s="4">
        <f>'Tabulation Sheet'!E163</f>
        <v>0</v>
      </c>
      <c r="F163" s="4">
        <f>'Tabulation Sheet'!F163</f>
        <v>0</v>
      </c>
      <c r="G163" s="69"/>
      <c r="H163" s="69"/>
      <c r="I163" s="69"/>
      <c r="J163" s="69"/>
      <c r="K163" s="5"/>
      <c r="L163" s="5"/>
      <c r="M163" s="5"/>
      <c r="N163" s="5"/>
    </row>
    <row r="164" spans="2:14" ht="15.75" customHeight="1">
      <c r="B164" s="58">
        <f>'Tabulation Sheet'!B164</f>
        <v>0</v>
      </c>
      <c r="C164" s="66">
        <f>'Tabulation Sheet'!C164</f>
        <v>0</v>
      </c>
      <c r="D164" s="4">
        <f>'Tabulation Sheet'!D164</f>
        <v>0</v>
      </c>
      <c r="E164" s="4">
        <f>'Tabulation Sheet'!E164</f>
        <v>0</v>
      </c>
      <c r="F164" s="4">
        <f>'Tabulation Sheet'!F164</f>
        <v>0</v>
      </c>
      <c r="G164" s="69"/>
      <c r="H164" s="69"/>
      <c r="I164" s="69"/>
      <c r="J164" s="69"/>
      <c r="K164" s="5"/>
      <c r="L164" s="5"/>
      <c r="M164" s="5"/>
      <c r="N164" s="5"/>
    </row>
    <row r="165" spans="2:14" ht="15.75" customHeight="1">
      <c r="B165" s="58">
        <f>'Tabulation Sheet'!B165</f>
        <v>0</v>
      </c>
      <c r="C165" s="66">
        <f>'Tabulation Sheet'!C165</f>
        <v>0</v>
      </c>
      <c r="D165" s="4">
        <f>'Tabulation Sheet'!D165</f>
        <v>0</v>
      </c>
      <c r="E165" s="4">
        <f>'Tabulation Sheet'!E165</f>
        <v>0</v>
      </c>
      <c r="F165" s="4">
        <f>'Tabulation Sheet'!F165</f>
        <v>0</v>
      </c>
      <c r="G165" s="69"/>
      <c r="H165" s="69"/>
      <c r="I165" s="69"/>
      <c r="J165" s="69"/>
      <c r="K165" s="5"/>
      <c r="L165" s="5"/>
      <c r="M165" s="5"/>
      <c r="N165" s="5"/>
    </row>
    <row r="166" spans="2:14" ht="15.75" customHeight="1">
      <c r="B166" s="58">
        <f>'Tabulation Sheet'!B166</f>
        <v>0</v>
      </c>
      <c r="C166" s="66">
        <f>'Tabulation Sheet'!C166</f>
        <v>0</v>
      </c>
      <c r="D166" s="4">
        <f>'Tabulation Sheet'!D166</f>
        <v>0</v>
      </c>
      <c r="E166" s="4">
        <f>'Tabulation Sheet'!E166</f>
        <v>0</v>
      </c>
      <c r="F166" s="4">
        <f>'Tabulation Sheet'!F166</f>
        <v>0</v>
      </c>
      <c r="G166" s="69"/>
      <c r="H166" s="69"/>
      <c r="I166" s="69"/>
      <c r="J166" s="69"/>
      <c r="K166" s="5"/>
      <c r="L166" s="5"/>
      <c r="M166" s="5"/>
      <c r="N166" s="5"/>
    </row>
    <row r="167" spans="2:14" ht="15.75" customHeight="1">
      <c r="B167" s="58">
        <f>'Tabulation Sheet'!B167</f>
        <v>0</v>
      </c>
      <c r="C167" s="66">
        <f>'Tabulation Sheet'!C167</f>
        <v>0</v>
      </c>
      <c r="D167" s="4">
        <f>'Tabulation Sheet'!D167</f>
        <v>0</v>
      </c>
      <c r="E167" s="4">
        <f>'Tabulation Sheet'!E167</f>
        <v>0</v>
      </c>
      <c r="F167" s="4">
        <f>'Tabulation Sheet'!F167</f>
        <v>0</v>
      </c>
      <c r="G167" s="69"/>
      <c r="H167" s="69"/>
      <c r="I167" s="69"/>
      <c r="J167" s="69"/>
      <c r="K167" s="5"/>
      <c r="L167" s="5"/>
      <c r="M167" s="5"/>
      <c r="N167" s="5"/>
    </row>
    <row r="168" spans="2:14" ht="15.75" customHeight="1">
      <c r="B168" s="58">
        <f>'Tabulation Sheet'!B168</f>
        <v>0</v>
      </c>
      <c r="C168" s="66">
        <f>'Tabulation Sheet'!C168</f>
        <v>0</v>
      </c>
      <c r="D168" s="4">
        <f>'Tabulation Sheet'!D168</f>
        <v>0</v>
      </c>
      <c r="E168" s="4">
        <f>'Tabulation Sheet'!E168</f>
        <v>0</v>
      </c>
      <c r="F168" s="4">
        <f>'Tabulation Sheet'!F168</f>
        <v>0</v>
      </c>
      <c r="G168" s="69"/>
      <c r="H168" s="69"/>
      <c r="I168" s="69"/>
      <c r="J168" s="69"/>
      <c r="K168" s="5"/>
      <c r="L168" s="5"/>
      <c r="M168" s="5"/>
      <c r="N168" s="5"/>
    </row>
    <row r="169" spans="2:14" ht="15.75" customHeight="1">
      <c r="B169" s="58">
        <f>'Tabulation Sheet'!B169</f>
        <v>0</v>
      </c>
      <c r="C169" s="66">
        <f>'Tabulation Sheet'!C169</f>
        <v>0</v>
      </c>
      <c r="D169" s="4">
        <f>'Tabulation Sheet'!D169</f>
        <v>0</v>
      </c>
      <c r="E169" s="4">
        <f>'Tabulation Sheet'!E169</f>
        <v>0</v>
      </c>
      <c r="F169" s="4">
        <f>'Tabulation Sheet'!F169</f>
        <v>0</v>
      </c>
      <c r="G169" s="69"/>
      <c r="H169" s="69"/>
      <c r="I169" s="69"/>
      <c r="J169" s="69"/>
      <c r="K169" s="5"/>
      <c r="L169" s="5"/>
      <c r="M169" s="5"/>
      <c r="N169" s="5"/>
    </row>
    <row r="170" spans="2:14" ht="15.75" customHeight="1">
      <c r="B170" s="58">
        <f>'Tabulation Sheet'!B170</f>
        <v>0</v>
      </c>
      <c r="C170" s="66">
        <f>'Tabulation Sheet'!C170</f>
        <v>0</v>
      </c>
      <c r="D170" s="4">
        <f>'Tabulation Sheet'!D170</f>
        <v>0</v>
      </c>
      <c r="E170" s="4">
        <f>'Tabulation Sheet'!E170</f>
        <v>0</v>
      </c>
      <c r="F170" s="4">
        <f>'Tabulation Sheet'!F170</f>
        <v>0</v>
      </c>
      <c r="G170" s="69"/>
      <c r="H170" s="69"/>
      <c r="I170" s="69"/>
      <c r="J170" s="69"/>
      <c r="K170" s="5"/>
      <c r="L170" s="5"/>
      <c r="M170" s="5"/>
      <c r="N170" s="5"/>
    </row>
    <row r="171" spans="2:14" ht="15.75" customHeight="1">
      <c r="B171" s="58">
        <f>'Tabulation Sheet'!B171</f>
        <v>0</v>
      </c>
      <c r="C171" s="66">
        <f>'Tabulation Sheet'!C171</f>
        <v>0</v>
      </c>
      <c r="D171" s="4">
        <f>'Tabulation Sheet'!D171</f>
        <v>0</v>
      </c>
      <c r="E171" s="4">
        <f>'Tabulation Sheet'!E171</f>
        <v>0</v>
      </c>
      <c r="F171" s="4">
        <f>'Tabulation Sheet'!F171</f>
        <v>0</v>
      </c>
      <c r="G171" s="69"/>
      <c r="H171" s="69"/>
      <c r="I171" s="69"/>
      <c r="J171" s="69"/>
      <c r="K171" s="5"/>
      <c r="L171" s="5"/>
      <c r="M171" s="5"/>
      <c r="N171" s="5"/>
    </row>
    <row r="172" spans="2:14" ht="15.75" customHeight="1">
      <c r="B172" s="58">
        <f>'Tabulation Sheet'!B172</f>
        <v>0</v>
      </c>
      <c r="C172" s="66">
        <f>'Tabulation Sheet'!C172</f>
        <v>0</v>
      </c>
      <c r="D172" s="4">
        <f>'Tabulation Sheet'!D172</f>
        <v>0</v>
      </c>
      <c r="E172" s="4">
        <f>'Tabulation Sheet'!E172</f>
        <v>0</v>
      </c>
      <c r="F172" s="4">
        <f>'Tabulation Sheet'!F172</f>
        <v>0</v>
      </c>
      <c r="G172" s="69"/>
      <c r="H172" s="69"/>
      <c r="I172" s="69"/>
      <c r="J172" s="69"/>
      <c r="K172" s="5"/>
      <c r="L172" s="5"/>
      <c r="M172" s="5"/>
      <c r="N172" s="5"/>
    </row>
    <row r="173" spans="2:14" ht="15.75" customHeight="1">
      <c r="B173" s="58">
        <f>'Tabulation Sheet'!B173</f>
        <v>0</v>
      </c>
      <c r="C173" s="66">
        <f>'Tabulation Sheet'!C173</f>
        <v>0</v>
      </c>
      <c r="D173" s="4">
        <f>'Tabulation Sheet'!D173</f>
        <v>0</v>
      </c>
      <c r="E173" s="4">
        <f>'Tabulation Sheet'!E173</f>
        <v>0</v>
      </c>
      <c r="F173" s="4">
        <f>'Tabulation Sheet'!F173</f>
        <v>0</v>
      </c>
      <c r="G173" s="69"/>
      <c r="H173" s="69"/>
      <c r="I173" s="69"/>
      <c r="J173" s="69"/>
      <c r="K173" s="5"/>
      <c r="L173" s="5"/>
      <c r="M173" s="5"/>
      <c r="N173" s="5"/>
    </row>
    <row r="174" spans="2:14" ht="15.75" customHeight="1">
      <c r="B174" s="58">
        <f>'Tabulation Sheet'!B174</f>
        <v>0</v>
      </c>
      <c r="C174" s="66">
        <f>'Tabulation Sheet'!C174</f>
        <v>0</v>
      </c>
      <c r="D174" s="4">
        <f>'Tabulation Sheet'!D174</f>
        <v>0</v>
      </c>
      <c r="E174" s="4">
        <f>'Tabulation Sheet'!E174</f>
        <v>0</v>
      </c>
      <c r="F174" s="4">
        <f>'Tabulation Sheet'!F174</f>
        <v>0</v>
      </c>
      <c r="G174" s="69"/>
      <c r="H174" s="69"/>
      <c r="I174" s="69"/>
      <c r="J174" s="69"/>
      <c r="K174" s="5"/>
      <c r="L174" s="5"/>
      <c r="M174" s="5"/>
      <c r="N174" s="5"/>
    </row>
    <row r="175" spans="2:14" ht="15.75" customHeight="1">
      <c r="B175" s="58">
        <f>'Tabulation Sheet'!B175</f>
        <v>0</v>
      </c>
      <c r="C175" s="66">
        <f>'Tabulation Sheet'!C175</f>
        <v>0</v>
      </c>
      <c r="D175" s="4">
        <f>'Tabulation Sheet'!D175</f>
        <v>0</v>
      </c>
      <c r="E175" s="4">
        <f>'Tabulation Sheet'!E175</f>
        <v>0</v>
      </c>
      <c r="F175" s="4">
        <f>'Tabulation Sheet'!F175</f>
        <v>0</v>
      </c>
      <c r="G175" s="69"/>
      <c r="H175" s="69"/>
      <c r="I175" s="69"/>
      <c r="J175" s="69"/>
      <c r="K175" s="5"/>
      <c r="L175" s="5"/>
      <c r="M175" s="5"/>
      <c r="N175" s="5"/>
    </row>
    <row r="176" spans="2:14" ht="15.75" customHeight="1">
      <c r="B176" s="58">
        <f>'Tabulation Sheet'!B176</f>
        <v>0</v>
      </c>
      <c r="C176" s="66">
        <f>'Tabulation Sheet'!C176</f>
        <v>0</v>
      </c>
      <c r="D176" s="4">
        <f>'Tabulation Sheet'!D176</f>
        <v>0</v>
      </c>
      <c r="E176" s="4">
        <f>'Tabulation Sheet'!E176</f>
        <v>0</v>
      </c>
      <c r="F176" s="4">
        <f>'Tabulation Sheet'!F176</f>
        <v>0</v>
      </c>
      <c r="G176" s="69"/>
      <c r="H176" s="69"/>
      <c r="I176" s="69"/>
      <c r="J176" s="69"/>
      <c r="K176" s="5"/>
      <c r="L176" s="5"/>
      <c r="M176" s="5"/>
      <c r="N176" s="5"/>
    </row>
    <row r="177" spans="2:14" ht="15.75" customHeight="1">
      <c r="B177" s="58">
        <f>'Tabulation Sheet'!B177</f>
        <v>0</v>
      </c>
      <c r="C177" s="66">
        <f>'Tabulation Sheet'!C177</f>
        <v>0</v>
      </c>
      <c r="D177" s="4">
        <f>'Tabulation Sheet'!D177</f>
        <v>0</v>
      </c>
      <c r="E177" s="4">
        <f>'Tabulation Sheet'!E177</f>
        <v>0</v>
      </c>
      <c r="F177" s="4">
        <f>'Tabulation Sheet'!F177</f>
        <v>0</v>
      </c>
      <c r="G177" s="69"/>
      <c r="H177" s="69"/>
      <c r="I177" s="69"/>
      <c r="J177" s="69"/>
      <c r="K177" s="5"/>
      <c r="L177" s="5"/>
      <c r="M177" s="5"/>
      <c r="N177" s="5"/>
    </row>
    <row r="178" spans="2:14" ht="15.75" customHeight="1">
      <c r="B178" s="58">
        <f>'Tabulation Sheet'!B178</f>
        <v>0</v>
      </c>
      <c r="C178" s="66">
        <f>'Tabulation Sheet'!C178</f>
        <v>0</v>
      </c>
      <c r="D178" s="4">
        <f>'Tabulation Sheet'!D178</f>
        <v>0</v>
      </c>
      <c r="E178" s="4">
        <f>'Tabulation Sheet'!E178</f>
        <v>0</v>
      </c>
      <c r="F178" s="4">
        <f>'Tabulation Sheet'!F178</f>
        <v>0</v>
      </c>
      <c r="G178" s="69"/>
      <c r="H178" s="69"/>
      <c r="I178" s="69"/>
      <c r="J178" s="69"/>
      <c r="K178" s="5"/>
      <c r="L178" s="5"/>
      <c r="M178" s="5"/>
      <c r="N178" s="5"/>
    </row>
    <row r="179" spans="2:14" ht="15.75" customHeight="1">
      <c r="B179" s="58">
        <f>'Tabulation Sheet'!B179</f>
        <v>0</v>
      </c>
      <c r="C179" s="66">
        <f>'Tabulation Sheet'!C179</f>
        <v>0</v>
      </c>
      <c r="D179" s="4">
        <f>'Tabulation Sheet'!D179</f>
        <v>0</v>
      </c>
      <c r="E179" s="4">
        <f>'Tabulation Sheet'!E179</f>
        <v>0</v>
      </c>
      <c r="F179" s="4">
        <f>'Tabulation Sheet'!F179</f>
        <v>0</v>
      </c>
      <c r="G179" s="69"/>
      <c r="H179" s="69"/>
      <c r="I179" s="69"/>
      <c r="J179" s="69"/>
      <c r="K179" s="5"/>
      <c r="L179" s="5"/>
      <c r="M179" s="5"/>
      <c r="N179" s="5"/>
    </row>
    <row r="180" spans="2:14" ht="15.75" customHeight="1">
      <c r="B180" s="58">
        <f>'Tabulation Sheet'!B180</f>
        <v>0</v>
      </c>
      <c r="C180" s="66">
        <f>'Tabulation Sheet'!C180</f>
        <v>0</v>
      </c>
      <c r="D180" s="4">
        <f>'Tabulation Sheet'!D180</f>
        <v>0</v>
      </c>
      <c r="E180" s="4">
        <f>'Tabulation Sheet'!E180</f>
        <v>0</v>
      </c>
      <c r="F180" s="4">
        <f>'Tabulation Sheet'!F180</f>
        <v>0</v>
      </c>
      <c r="G180" s="69"/>
      <c r="H180" s="69"/>
      <c r="I180" s="69"/>
      <c r="J180" s="69"/>
      <c r="K180" s="5"/>
      <c r="L180" s="5"/>
      <c r="M180" s="5"/>
      <c r="N180" s="5"/>
    </row>
    <row r="181" spans="2:14" ht="15.75" customHeight="1">
      <c r="B181" s="58">
        <f>'Tabulation Sheet'!B181</f>
        <v>0</v>
      </c>
      <c r="C181" s="66">
        <f>'Tabulation Sheet'!C181</f>
        <v>0</v>
      </c>
      <c r="D181" s="4">
        <f>'Tabulation Sheet'!D181</f>
        <v>0</v>
      </c>
      <c r="E181" s="4">
        <f>'Tabulation Sheet'!E181</f>
        <v>0</v>
      </c>
      <c r="F181" s="4">
        <f>'Tabulation Sheet'!F181</f>
        <v>0</v>
      </c>
      <c r="G181" s="69"/>
      <c r="H181" s="69"/>
      <c r="I181" s="69"/>
      <c r="J181" s="69"/>
      <c r="K181" s="5"/>
      <c r="L181" s="5"/>
      <c r="M181" s="5"/>
      <c r="N181" s="5"/>
    </row>
    <row r="182" spans="2:14" ht="15.75" customHeight="1">
      <c r="B182" s="58">
        <f>'Tabulation Sheet'!B182</f>
        <v>0</v>
      </c>
      <c r="C182" s="66">
        <f>'Tabulation Sheet'!C182</f>
        <v>0</v>
      </c>
      <c r="D182" s="4">
        <f>'Tabulation Sheet'!D182</f>
        <v>0</v>
      </c>
      <c r="E182" s="4">
        <f>'Tabulation Sheet'!E182</f>
        <v>0</v>
      </c>
      <c r="F182" s="4">
        <f>'Tabulation Sheet'!F182</f>
        <v>0</v>
      </c>
      <c r="G182" s="69"/>
      <c r="H182" s="69"/>
      <c r="I182" s="69"/>
      <c r="J182" s="69"/>
      <c r="K182" s="5"/>
      <c r="L182" s="5"/>
      <c r="M182" s="5"/>
      <c r="N182" s="5"/>
    </row>
    <row r="183" spans="2:14" ht="15.75" customHeight="1">
      <c r="B183" s="58">
        <f>'Tabulation Sheet'!B183</f>
        <v>0</v>
      </c>
      <c r="C183" s="66">
        <f>'Tabulation Sheet'!C183</f>
        <v>0</v>
      </c>
      <c r="D183" s="4">
        <f>'Tabulation Sheet'!D183</f>
        <v>0</v>
      </c>
      <c r="E183" s="4">
        <f>'Tabulation Sheet'!E183</f>
        <v>0</v>
      </c>
      <c r="F183" s="4">
        <f>'Tabulation Sheet'!F183</f>
        <v>0</v>
      </c>
      <c r="G183" s="69"/>
      <c r="H183" s="69"/>
      <c r="I183" s="69"/>
      <c r="J183" s="69"/>
      <c r="K183" s="5"/>
      <c r="L183" s="5"/>
      <c r="M183" s="5"/>
      <c r="N183" s="5"/>
    </row>
    <row r="184" spans="2:14" ht="15.75" customHeight="1">
      <c r="B184" s="58">
        <f>'Tabulation Sheet'!B184</f>
        <v>0</v>
      </c>
      <c r="C184" s="66">
        <f>'Tabulation Sheet'!C184</f>
        <v>0</v>
      </c>
      <c r="D184" s="4">
        <f>'Tabulation Sheet'!D184</f>
        <v>0</v>
      </c>
      <c r="E184" s="4">
        <f>'Tabulation Sheet'!E184</f>
        <v>0</v>
      </c>
      <c r="F184" s="4">
        <f>'Tabulation Sheet'!F184</f>
        <v>0</v>
      </c>
      <c r="G184" s="69"/>
      <c r="H184" s="69"/>
      <c r="I184" s="69"/>
      <c r="J184" s="69"/>
      <c r="K184" s="5"/>
      <c r="L184" s="5"/>
      <c r="M184" s="5"/>
      <c r="N184" s="5"/>
    </row>
    <row r="185" spans="2:14" ht="15.75" customHeight="1">
      <c r="B185" s="58">
        <f>'Tabulation Sheet'!B185</f>
        <v>0</v>
      </c>
      <c r="C185" s="66">
        <f>'Tabulation Sheet'!C185</f>
        <v>0</v>
      </c>
      <c r="D185" s="4">
        <f>'Tabulation Sheet'!D185</f>
        <v>0</v>
      </c>
      <c r="E185" s="4">
        <f>'Tabulation Sheet'!E185</f>
        <v>0</v>
      </c>
      <c r="F185" s="4">
        <f>'Tabulation Sheet'!F185</f>
        <v>0</v>
      </c>
      <c r="G185" s="69"/>
      <c r="H185" s="69"/>
      <c r="I185" s="69"/>
      <c r="J185" s="69"/>
      <c r="K185" s="5"/>
      <c r="L185" s="5"/>
      <c r="M185" s="5"/>
      <c r="N185" s="5"/>
    </row>
    <row r="186" spans="2:14" ht="15.75" customHeight="1">
      <c r="B186" s="58">
        <f>'Tabulation Sheet'!B186</f>
        <v>0</v>
      </c>
      <c r="C186" s="66">
        <f>'Tabulation Sheet'!C186</f>
        <v>0</v>
      </c>
      <c r="D186" s="4">
        <f>'Tabulation Sheet'!D186</f>
        <v>0</v>
      </c>
      <c r="E186" s="4">
        <f>'Tabulation Sheet'!E186</f>
        <v>0</v>
      </c>
      <c r="F186" s="4">
        <f>'Tabulation Sheet'!F186</f>
        <v>0</v>
      </c>
      <c r="G186" s="69"/>
      <c r="H186" s="69"/>
      <c r="I186" s="69"/>
      <c r="J186" s="69"/>
      <c r="K186" s="5"/>
      <c r="L186" s="5"/>
      <c r="M186" s="5"/>
      <c r="N186" s="5"/>
    </row>
    <row r="187" spans="2:14" ht="15.75" customHeight="1">
      <c r="B187" s="58">
        <f>'Tabulation Sheet'!B187</f>
        <v>0</v>
      </c>
      <c r="C187" s="66">
        <f>'Tabulation Sheet'!C187</f>
        <v>0</v>
      </c>
      <c r="D187" s="4">
        <f>'Tabulation Sheet'!D187</f>
        <v>0</v>
      </c>
      <c r="E187" s="4">
        <f>'Tabulation Sheet'!E187</f>
        <v>0</v>
      </c>
      <c r="F187" s="4">
        <f>'Tabulation Sheet'!F187</f>
        <v>0</v>
      </c>
      <c r="G187" s="69"/>
      <c r="H187" s="69"/>
      <c r="I187" s="69"/>
      <c r="J187" s="69"/>
      <c r="K187" s="5"/>
      <c r="L187" s="5"/>
      <c r="M187" s="5"/>
      <c r="N187" s="5"/>
    </row>
    <row r="188" spans="2:14" ht="15.75" customHeight="1">
      <c r="B188" s="58">
        <f>'Tabulation Sheet'!B188</f>
        <v>0</v>
      </c>
      <c r="C188" s="66">
        <f>'Tabulation Sheet'!C188</f>
        <v>0</v>
      </c>
      <c r="D188" s="4">
        <f>'Tabulation Sheet'!D188</f>
        <v>0</v>
      </c>
      <c r="E188" s="4">
        <f>'Tabulation Sheet'!E188</f>
        <v>0</v>
      </c>
      <c r="F188" s="4">
        <f>'Tabulation Sheet'!F188</f>
        <v>0</v>
      </c>
      <c r="G188" s="69"/>
      <c r="H188" s="69"/>
      <c r="I188" s="69"/>
      <c r="J188" s="69"/>
      <c r="K188" s="5"/>
      <c r="L188" s="5"/>
      <c r="M188" s="5"/>
      <c r="N188" s="5"/>
    </row>
    <row r="189" spans="2:14" ht="15.75" customHeight="1">
      <c r="B189" s="58">
        <f>'Tabulation Sheet'!B189</f>
        <v>0</v>
      </c>
      <c r="C189" s="66">
        <f>'Tabulation Sheet'!C189</f>
        <v>0</v>
      </c>
      <c r="D189" s="4">
        <f>'Tabulation Sheet'!D189</f>
        <v>0</v>
      </c>
      <c r="E189" s="4">
        <f>'Tabulation Sheet'!E189</f>
        <v>0</v>
      </c>
      <c r="F189" s="4">
        <f>'Tabulation Sheet'!F189</f>
        <v>0</v>
      </c>
      <c r="G189" s="69"/>
      <c r="H189" s="69"/>
      <c r="I189" s="69"/>
      <c r="J189" s="69"/>
      <c r="K189" s="5"/>
      <c r="L189" s="5"/>
      <c r="M189" s="5"/>
      <c r="N189" s="5"/>
    </row>
    <row r="190" spans="2:14" ht="15.75" customHeight="1">
      <c r="B190" s="58">
        <f>'Tabulation Sheet'!B190</f>
        <v>0</v>
      </c>
      <c r="C190" s="66">
        <f>'Tabulation Sheet'!C190</f>
        <v>0</v>
      </c>
      <c r="D190" s="4">
        <f>'Tabulation Sheet'!D190</f>
        <v>0</v>
      </c>
      <c r="E190" s="4">
        <f>'Tabulation Sheet'!E190</f>
        <v>0</v>
      </c>
      <c r="F190" s="4">
        <f>'Tabulation Sheet'!F190</f>
        <v>0</v>
      </c>
      <c r="G190" s="69"/>
      <c r="H190" s="69"/>
      <c r="I190" s="69"/>
      <c r="J190" s="69"/>
      <c r="K190" s="5"/>
      <c r="L190" s="5"/>
      <c r="M190" s="5"/>
      <c r="N190" s="5"/>
    </row>
    <row r="191" spans="2:14" ht="15.75" customHeight="1">
      <c r="B191" s="58">
        <f>'Tabulation Sheet'!B191</f>
        <v>0</v>
      </c>
      <c r="C191" s="66">
        <f>'Tabulation Sheet'!C191</f>
        <v>0</v>
      </c>
      <c r="D191" s="4">
        <f>'Tabulation Sheet'!D191</f>
        <v>0</v>
      </c>
      <c r="E191" s="4">
        <f>'Tabulation Sheet'!E191</f>
        <v>0</v>
      </c>
      <c r="F191" s="4">
        <f>'Tabulation Sheet'!F191</f>
        <v>0</v>
      </c>
      <c r="G191" s="69"/>
      <c r="H191" s="69"/>
      <c r="I191" s="69"/>
      <c r="J191" s="69"/>
      <c r="K191" s="5"/>
      <c r="L191" s="5"/>
      <c r="M191" s="5"/>
      <c r="N191" s="5"/>
    </row>
    <row r="192" spans="2:14" ht="15.75" customHeight="1">
      <c r="B192" s="58">
        <f>'Tabulation Sheet'!B192</f>
        <v>0</v>
      </c>
      <c r="C192" s="66">
        <f>'Tabulation Sheet'!C192</f>
        <v>0</v>
      </c>
      <c r="D192" s="4">
        <f>'Tabulation Sheet'!D192</f>
        <v>0</v>
      </c>
      <c r="E192" s="4">
        <f>'Tabulation Sheet'!E192</f>
        <v>0</v>
      </c>
      <c r="F192" s="4">
        <f>'Tabulation Sheet'!F192</f>
        <v>0</v>
      </c>
      <c r="G192" s="69"/>
      <c r="H192" s="69"/>
      <c r="I192" s="69"/>
      <c r="J192" s="69"/>
      <c r="K192" s="5"/>
      <c r="L192" s="5"/>
      <c r="M192" s="5"/>
      <c r="N192" s="5"/>
    </row>
    <row r="193" spans="2:14" ht="15.75" customHeight="1">
      <c r="B193" s="58">
        <f>'Tabulation Sheet'!B193</f>
        <v>0</v>
      </c>
      <c r="C193" s="66">
        <f>'Tabulation Sheet'!C193</f>
        <v>0</v>
      </c>
      <c r="D193" s="4">
        <f>'Tabulation Sheet'!D193</f>
        <v>0</v>
      </c>
      <c r="E193" s="4">
        <f>'Tabulation Sheet'!E193</f>
        <v>0</v>
      </c>
      <c r="F193" s="4">
        <f>'Tabulation Sheet'!F193</f>
        <v>0</v>
      </c>
      <c r="G193" s="69"/>
      <c r="H193" s="69"/>
      <c r="I193" s="69"/>
      <c r="J193" s="69"/>
      <c r="K193" s="5"/>
      <c r="L193" s="5"/>
      <c r="M193" s="5"/>
      <c r="N193" s="5"/>
    </row>
    <row r="194" spans="2:14" ht="15.75" customHeight="1">
      <c r="B194" s="58">
        <f>'Tabulation Sheet'!B194</f>
        <v>0</v>
      </c>
      <c r="C194" s="66">
        <f>'Tabulation Sheet'!C194</f>
        <v>0</v>
      </c>
      <c r="D194" s="4">
        <f>'Tabulation Sheet'!D194</f>
        <v>0</v>
      </c>
      <c r="E194" s="4">
        <f>'Tabulation Sheet'!E194</f>
        <v>0</v>
      </c>
      <c r="F194" s="4">
        <f>'Tabulation Sheet'!F194</f>
        <v>0</v>
      </c>
      <c r="G194" s="69"/>
      <c r="H194" s="69"/>
      <c r="I194" s="69"/>
      <c r="J194" s="69"/>
      <c r="K194" s="5"/>
      <c r="L194" s="5"/>
      <c r="M194" s="5"/>
      <c r="N194" s="5"/>
    </row>
    <row r="195" spans="2:14" ht="15.75" customHeight="1">
      <c r="B195" s="58">
        <f>'Tabulation Sheet'!B195</f>
        <v>0</v>
      </c>
      <c r="C195" s="66">
        <f>'Tabulation Sheet'!C195</f>
        <v>0</v>
      </c>
      <c r="D195" s="4">
        <f>'Tabulation Sheet'!D195</f>
        <v>0</v>
      </c>
      <c r="E195" s="4">
        <f>'Tabulation Sheet'!E195</f>
        <v>0</v>
      </c>
      <c r="F195" s="4">
        <f>'Tabulation Sheet'!F195</f>
        <v>0</v>
      </c>
      <c r="G195" s="69"/>
      <c r="H195" s="69"/>
      <c r="I195" s="69"/>
      <c r="J195" s="69"/>
      <c r="K195" s="5"/>
      <c r="L195" s="5"/>
      <c r="M195" s="5"/>
      <c r="N195" s="5"/>
    </row>
    <row r="196" spans="2:14" ht="15.75" customHeight="1">
      <c r="B196" s="58">
        <f>'Tabulation Sheet'!B196</f>
        <v>0</v>
      </c>
      <c r="C196" s="66">
        <f>'Tabulation Sheet'!C196</f>
        <v>0</v>
      </c>
      <c r="D196" s="4">
        <f>'Tabulation Sheet'!D196</f>
        <v>0</v>
      </c>
      <c r="E196" s="4">
        <f>'Tabulation Sheet'!E196</f>
        <v>0</v>
      </c>
      <c r="F196" s="4">
        <f>'Tabulation Sheet'!F196</f>
        <v>0</v>
      </c>
      <c r="G196" s="69"/>
      <c r="H196" s="69"/>
      <c r="I196" s="69"/>
      <c r="J196" s="69"/>
      <c r="K196" s="5"/>
      <c r="L196" s="5"/>
      <c r="M196" s="5"/>
      <c r="N196" s="5"/>
    </row>
    <row r="197" spans="2:14" ht="15.75" customHeight="1">
      <c r="B197" s="58">
        <f>'Tabulation Sheet'!B197</f>
        <v>0</v>
      </c>
      <c r="C197" s="66">
        <f>'Tabulation Sheet'!C197</f>
        <v>0</v>
      </c>
      <c r="D197" s="4">
        <f>'Tabulation Sheet'!D197</f>
        <v>0</v>
      </c>
      <c r="E197" s="4">
        <f>'Tabulation Sheet'!E197</f>
        <v>0</v>
      </c>
      <c r="F197" s="4">
        <f>'Tabulation Sheet'!F197</f>
        <v>0</v>
      </c>
      <c r="G197" s="69"/>
      <c r="H197" s="69"/>
      <c r="I197" s="69"/>
      <c r="J197" s="69"/>
      <c r="K197" s="5"/>
      <c r="L197" s="5"/>
      <c r="M197" s="5"/>
      <c r="N197" s="5"/>
    </row>
    <row r="198" spans="2:14" ht="15.75" customHeight="1">
      <c r="B198" s="58">
        <f>'Tabulation Sheet'!B198</f>
        <v>0</v>
      </c>
      <c r="C198" s="66">
        <f>'Tabulation Sheet'!C198</f>
        <v>0</v>
      </c>
      <c r="D198" s="4">
        <f>'Tabulation Sheet'!D198</f>
        <v>0</v>
      </c>
      <c r="E198" s="4">
        <f>'Tabulation Sheet'!E198</f>
        <v>0</v>
      </c>
      <c r="F198" s="4">
        <f>'Tabulation Sheet'!F198</f>
        <v>0</v>
      </c>
      <c r="G198" s="69"/>
      <c r="H198" s="69"/>
      <c r="I198" s="69"/>
      <c r="J198" s="69"/>
      <c r="K198" s="5"/>
      <c r="L198" s="5"/>
      <c r="M198" s="5"/>
      <c r="N198" s="5"/>
    </row>
    <row r="199" spans="2:14" ht="15.75" customHeight="1">
      <c r="B199" s="58">
        <f>'Tabulation Sheet'!B199</f>
        <v>0</v>
      </c>
      <c r="C199" s="66">
        <f>'Tabulation Sheet'!C199</f>
        <v>0</v>
      </c>
      <c r="D199" s="4">
        <f>'Tabulation Sheet'!D199</f>
        <v>0</v>
      </c>
      <c r="E199" s="4">
        <f>'Tabulation Sheet'!E199</f>
        <v>0</v>
      </c>
      <c r="F199" s="4">
        <f>'Tabulation Sheet'!F199</f>
        <v>0</v>
      </c>
      <c r="G199" s="69"/>
      <c r="H199" s="69"/>
      <c r="I199" s="69"/>
      <c r="J199" s="69"/>
      <c r="K199" s="5"/>
      <c r="L199" s="5"/>
      <c r="M199" s="5"/>
      <c r="N199" s="5"/>
    </row>
    <row r="200" spans="2:14" ht="15.75" customHeight="1">
      <c r="B200" s="58">
        <f>'Tabulation Sheet'!B200</f>
        <v>0</v>
      </c>
      <c r="C200" s="66">
        <f>'Tabulation Sheet'!C200</f>
        <v>0</v>
      </c>
      <c r="D200" s="4">
        <f>'Tabulation Sheet'!D200</f>
        <v>0</v>
      </c>
      <c r="E200" s="4">
        <f>'Tabulation Sheet'!E200</f>
        <v>0</v>
      </c>
      <c r="F200" s="4">
        <f>'Tabulation Sheet'!F200</f>
        <v>0</v>
      </c>
      <c r="G200" s="69"/>
      <c r="H200" s="69"/>
      <c r="I200" s="69"/>
      <c r="J200" s="69"/>
      <c r="K200" s="5"/>
      <c r="L200" s="5"/>
      <c r="M200" s="5"/>
      <c r="N200" s="5"/>
    </row>
    <row r="201" spans="2:14" ht="15.75" customHeight="1">
      <c r="B201" s="58">
        <f>'Tabulation Sheet'!B201</f>
        <v>0</v>
      </c>
      <c r="C201" s="66">
        <f>'Tabulation Sheet'!C201</f>
        <v>0</v>
      </c>
      <c r="D201" s="4">
        <f>'Tabulation Sheet'!D201</f>
        <v>0</v>
      </c>
      <c r="E201" s="4">
        <f>'Tabulation Sheet'!E201</f>
        <v>0</v>
      </c>
      <c r="F201" s="4">
        <f>'Tabulation Sheet'!F201</f>
        <v>0</v>
      </c>
      <c r="G201" s="69"/>
      <c r="H201" s="69"/>
      <c r="I201" s="69"/>
      <c r="J201" s="69"/>
      <c r="K201" s="5"/>
      <c r="L201" s="5"/>
      <c r="M201" s="5"/>
      <c r="N201" s="5"/>
    </row>
    <row r="202" spans="2:14" ht="15.75" customHeight="1">
      <c r="B202" s="58">
        <f>'Tabulation Sheet'!B202</f>
        <v>0</v>
      </c>
      <c r="C202" s="66">
        <f>'Tabulation Sheet'!C202</f>
        <v>0</v>
      </c>
      <c r="D202" s="4">
        <f>'Tabulation Sheet'!D202</f>
        <v>0</v>
      </c>
      <c r="E202" s="4">
        <f>'Tabulation Sheet'!E202</f>
        <v>0</v>
      </c>
      <c r="F202" s="4">
        <f>'Tabulation Sheet'!F202</f>
        <v>0</v>
      </c>
      <c r="G202" s="69"/>
      <c r="H202" s="69"/>
      <c r="I202" s="69"/>
      <c r="J202" s="69"/>
      <c r="K202" s="5"/>
      <c r="L202" s="5"/>
      <c r="M202" s="5"/>
      <c r="N202" s="5"/>
    </row>
    <row r="203" spans="2:14" ht="15.75" customHeight="1">
      <c r="B203" s="58">
        <f>'Tabulation Sheet'!B203</f>
        <v>0</v>
      </c>
      <c r="C203" s="66">
        <f>'Tabulation Sheet'!C203</f>
        <v>0</v>
      </c>
      <c r="D203" s="4">
        <f>'Tabulation Sheet'!D203</f>
        <v>0</v>
      </c>
      <c r="E203" s="4">
        <f>'Tabulation Sheet'!E203</f>
        <v>0</v>
      </c>
      <c r="F203" s="4">
        <f>'Tabulation Sheet'!F203</f>
        <v>0</v>
      </c>
      <c r="G203" s="69"/>
      <c r="H203" s="69"/>
      <c r="I203" s="69"/>
      <c r="J203" s="69"/>
      <c r="K203" s="5"/>
      <c r="L203" s="5"/>
      <c r="M203" s="5"/>
      <c r="N203" s="5"/>
    </row>
    <row r="204" spans="2:14" ht="15.75" customHeight="1">
      <c r="B204" s="58">
        <f>'Tabulation Sheet'!B204</f>
        <v>0</v>
      </c>
      <c r="C204" s="66">
        <f>'Tabulation Sheet'!C204</f>
        <v>0</v>
      </c>
      <c r="D204" s="4">
        <f>'Tabulation Sheet'!D204</f>
        <v>0</v>
      </c>
      <c r="E204" s="4">
        <f>'Tabulation Sheet'!E204</f>
        <v>0</v>
      </c>
      <c r="F204" s="4">
        <f>'Tabulation Sheet'!F204</f>
        <v>0</v>
      </c>
      <c r="G204" s="69"/>
      <c r="H204" s="69"/>
      <c r="I204" s="69"/>
      <c r="J204" s="69"/>
      <c r="K204" s="5"/>
      <c r="L204" s="5"/>
      <c r="M204" s="5"/>
      <c r="N204" s="5"/>
    </row>
    <row r="205" spans="2:14" ht="15.75" customHeight="1">
      <c r="B205" s="58">
        <f>'Tabulation Sheet'!B205</f>
        <v>0</v>
      </c>
      <c r="C205" s="66">
        <f>'Tabulation Sheet'!C205</f>
        <v>0</v>
      </c>
      <c r="D205" s="4">
        <f>'Tabulation Sheet'!D205</f>
        <v>0</v>
      </c>
      <c r="E205" s="4">
        <f>'Tabulation Sheet'!E205</f>
        <v>0</v>
      </c>
      <c r="F205" s="4">
        <f>'Tabulation Sheet'!F205</f>
        <v>0</v>
      </c>
      <c r="G205" s="69"/>
      <c r="H205" s="69"/>
      <c r="I205" s="69"/>
      <c r="J205" s="69"/>
      <c r="K205" s="5"/>
      <c r="L205" s="5"/>
      <c r="M205" s="5"/>
      <c r="N205" s="5"/>
    </row>
    <row r="206" spans="2:14" ht="15.75" customHeight="1">
      <c r="B206" s="58">
        <f>'Tabulation Sheet'!B206</f>
        <v>0</v>
      </c>
      <c r="C206" s="66">
        <f>'Tabulation Sheet'!C206</f>
        <v>0</v>
      </c>
      <c r="D206" s="4">
        <f>'Tabulation Sheet'!D206</f>
        <v>0</v>
      </c>
      <c r="E206" s="4">
        <f>'Tabulation Sheet'!E206</f>
        <v>0</v>
      </c>
      <c r="F206" s="4">
        <f>'Tabulation Sheet'!F206</f>
        <v>0</v>
      </c>
      <c r="G206" s="69"/>
      <c r="H206" s="69"/>
      <c r="I206" s="69"/>
      <c r="J206" s="69"/>
      <c r="K206" s="5"/>
      <c r="L206" s="5"/>
      <c r="M206" s="5"/>
      <c r="N206" s="5"/>
    </row>
    <row r="207" spans="2:14" ht="15.75" customHeight="1">
      <c r="B207" s="58">
        <f>'Tabulation Sheet'!B207</f>
        <v>0</v>
      </c>
      <c r="C207" s="66">
        <f>'Tabulation Sheet'!C207</f>
        <v>0</v>
      </c>
      <c r="D207" s="4">
        <f>'Tabulation Sheet'!D207</f>
        <v>0</v>
      </c>
      <c r="E207" s="4">
        <f>'Tabulation Sheet'!E207</f>
        <v>0</v>
      </c>
      <c r="F207" s="4">
        <f>'Tabulation Sheet'!F207</f>
        <v>0</v>
      </c>
      <c r="G207" s="69"/>
      <c r="H207" s="69"/>
      <c r="I207" s="69"/>
      <c r="J207" s="69"/>
      <c r="K207" s="5"/>
      <c r="L207" s="5"/>
      <c r="M207" s="5"/>
      <c r="N207" s="5"/>
    </row>
    <row r="208" spans="2:14" ht="15.75" customHeight="1">
      <c r="B208" s="58">
        <f>'Tabulation Sheet'!B208</f>
        <v>0</v>
      </c>
      <c r="C208" s="66">
        <f>'Tabulation Sheet'!C208</f>
        <v>0</v>
      </c>
      <c r="D208" s="4">
        <f>'Tabulation Sheet'!D208</f>
        <v>0</v>
      </c>
      <c r="E208" s="4">
        <f>'Tabulation Sheet'!E208</f>
        <v>0</v>
      </c>
      <c r="F208" s="4">
        <f>'Tabulation Sheet'!F208</f>
        <v>0</v>
      </c>
      <c r="G208" s="69"/>
      <c r="H208" s="69"/>
      <c r="I208" s="69"/>
      <c r="J208" s="69"/>
      <c r="K208" s="5"/>
      <c r="L208" s="5"/>
      <c r="M208" s="5"/>
      <c r="N208" s="5"/>
    </row>
    <row r="209" spans="2:14" ht="15.75" customHeight="1">
      <c r="B209" s="58">
        <f>'Tabulation Sheet'!B209</f>
        <v>0</v>
      </c>
      <c r="C209" s="66">
        <f>'Tabulation Sheet'!C209</f>
        <v>0</v>
      </c>
      <c r="D209" s="4">
        <f>'Tabulation Sheet'!D209</f>
        <v>0</v>
      </c>
      <c r="E209" s="4">
        <f>'Tabulation Sheet'!E209</f>
        <v>0</v>
      </c>
      <c r="F209" s="4">
        <f>'Tabulation Sheet'!F209</f>
        <v>0</v>
      </c>
      <c r="G209" s="69"/>
      <c r="H209" s="69"/>
      <c r="I209" s="69"/>
      <c r="J209" s="69"/>
      <c r="K209" s="5"/>
      <c r="L209" s="5"/>
      <c r="M209" s="5"/>
      <c r="N209" s="5"/>
    </row>
    <row r="210" spans="2:14" ht="15.75" customHeight="1">
      <c r="B210" s="58">
        <f>'Tabulation Sheet'!B210</f>
        <v>0</v>
      </c>
      <c r="C210" s="66">
        <f>'Tabulation Sheet'!C210</f>
        <v>0</v>
      </c>
      <c r="D210" s="4">
        <f>'Tabulation Sheet'!D210</f>
        <v>0</v>
      </c>
      <c r="E210" s="4">
        <f>'Tabulation Sheet'!E210</f>
        <v>0</v>
      </c>
      <c r="F210" s="4">
        <f>'Tabulation Sheet'!F210</f>
        <v>0</v>
      </c>
      <c r="G210" s="69"/>
      <c r="H210" s="69"/>
      <c r="I210" s="69"/>
      <c r="J210" s="69"/>
      <c r="K210" s="5"/>
      <c r="L210" s="5"/>
      <c r="M210" s="5"/>
      <c r="N210" s="5"/>
    </row>
    <row r="211" spans="2:14" ht="15.75" customHeight="1">
      <c r="B211" s="58">
        <f>'Tabulation Sheet'!B211</f>
        <v>0</v>
      </c>
      <c r="C211" s="66">
        <f>'Tabulation Sheet'!C211</f>
        <v>0</v>
      </c>
      <c r="D211" s="4">
        <f>'Tabulation Sheet'!D211</f>
        <v>0</v>
      </c>
      <c r="E211" s="4">
        <f>'Tabulation Sheet'!E211</f>
        <v>0</v>
      </c>
      <c r="F211" s="4">
        <f>'Tabulation Sheet'!F211</f>
        <v>0</v>
      </c>
      <c r="G211" s="69"/>
      <c r="H211" s="69"/>
      <c r="I211" s="69"/>
      <c r="J211" s="69"/>
      <c r="K211" s="5"/>
      <c r="L211" s="5"/>
      <c r="M211" s="5"/>
      <c r="N211" s="5"/>
    </row>
    <row r="212" spans="2:14" ht="15.75" customHeight="1">
      <c r="B212" s="58">
        <f>'Tabulation Sheet'!B212</f>
        <v>0</v>
      </c>
      <c r="C212" s="66">
        <f>'Tabulation Sheet'!C212</f>
        <v>0</v>
      </c>
      <c r="D212" s="4">
        <f>'Tabulation Sheet'!D212</f>
        <v>0</v>
      </c>
      <c r="E212" s="4">
        <f>'Tabulation Sheet'!E212</f>
        <v>0</v>
      </c>
      <c r="F212" s="4">
        <f>'Tabulation Sheet'!F212</f>
        <v>0</v>
      </c>
      <c r="G212" s="69"/>
      <c r="H212" s="69"/>
      <c r="I212" s="69"/>
      <c r="J212" s="69"/>
      <c r="K212" s="5"/>
      <c r="L212" s="5"/>
      <c r="M212" s="5"/>
      <c r="N212" s="5"/>
    </row>
    <row r="213" spans="2:14" ht="15.75" customHeight="1">
      <c r="B213" s="58">
        <f>'Tabulation Sheet'!B213</f>
        <v>0</v>
      </c>
      <c r="C213" s="66">
        <f>'Tabulation Sheet'!C213</f>
        <v>0</v>
      </c>
      <c r="D213" s="4">
        <f>'Tabulation Sheet'!D213</f>
        <v>0</v>
      </c>
      <c r="E213" s="4">
        <f>'Tabulation Sheet'!E213</f>
        <v>0</v>
      </c>
      <c r="F213" s="4">
        <f>'Tabulation Sheet'!F213</f>
        <v>0</v>
      </c>
      <c r="G213" s="69"/>
      <c r="H213" s="69"/>
      <c r="I213" s="69"/>
      <c r="J213" s="69"/>
      <c r="K213" s="5"/>
      <c r="L213" s="5"/>
      <c r="M213" s="5"/>
      <c r="N213" s="5"/>
    </row>
    <row r="214" spans="2:14" ht="15.75" customHeight="1">
      <c r="B214" s="58">
        <f>'Tabulation Sheet'!B214</f>
        <v>0</v>
      </c>
      <c r="C214" s="66">
        <f>'Tabulation Sheet'!C214</f>
        <v>0</v>
      </c>
      <c r="D214" s="4">
        <f>'Tabulation Sheet'!D214</f>
        <v>0</v>
      </c>
      <c r="E214" s="4">
        <f>'Tabulation Sheet'!E214</f>
        <v>0</v>
      </c>
      <c r="F214" s="4">
        <f>'Tabulation Sheet'!F214</f>
        <v>0</v>
      </c>
      <c r="G214" s="69"/>
      <c r="H214" s="69"/>
      <c r="I214" s="69"/>
      <c r="J214" s="69"/>
      <c r="K214" s="5"/>
      <c r="L214" s="5"/>
      <c r="M214" s="5"/>
      <c r="N214" s="5"/>
    </row>
    <row r="215" spans="2:14" ht="15.75" customHeight="1">
      <c r="B215" s="58">
        <f>'Tabulation Sheet'!B215</f>
        <v>0</v>
      </c>
      <c r="C215" s="66">
        <f>'Tabulation Sheet'!C215</f>
        <v>0</v>
      </c>
      <c r="D215" s="4">
        <f>'Tabulation Sheet'!D215</f>
        <v>0</v>
      </c>
      <c r="E215" s="4">
        <f>'Tabulation Sheet'!E215</f>
        <v>0</v>
      </c>
      <c r="F215" s="4">
        <f>'Tabulation Sheet'!F215</f>
        <v>0</v>
      </c>
      <c r="G215" s="69"/>
      <c r="H215" s="69"/>
      <c r="I215" s="69"/>
      <c r="J215" s="69"/>
      <c r="K215" s="5"/>
      <c r="L215" s="5"/>
      <c r="M215" s="5"/>
      <c r="N215" s="5"/>
    </row>
    <row r="216" spans="2:14" ht="15.75" customHeight="1">
      <c r="B216" s="58">
        <f>'Tabulation Sheet'!B216</f>
        <v>0</v>
      </c>
      <c r="C216" s="66">
        <f>'Tabulation Sheet'!C216</f>
        <v>0</v>
      </c>
      <c r="D216" s="4">
        <f>'Tabulation Sheet'!D216</f>
        <v>0</v>
      </c>
      <c r="E216" s="4">
        <f>'Tabulation Sheet'!E216</f>
        <v>0</v>
      </c>
      <c r="F216" s="4">
        <f>'Tabulation Sheet'!F216</f>
        <v>0</v>
      </c>
      <c r="G216" s="69"/>
      <c r="H216" s="69"/>
      <c r="I216" s="69"/>
      <c r="J216" s="69"/>
      <c r="K216" s="5"/>
      <c r="L216" s="5"/>
      <c r="M216" s="5"/>
      <c r="N216" s="5"/>
    </row>
    <row r="217" spans="2:14" ht="15.75" customHeight="1">
      <c r="B217" s="58">
        <f>'Tabulation Sheet'!B217</f>
        <v>0</v>
      </c>
      <c r="C217" s="66">
        <f>'Tabulation Sheet'!C217</f>
        <v>0</v>
      </c>
      <c r="D217" s="4">
        <f>'Tabulation Sheet'!D217</f>
        <v>0</v>
      </c>
      <c r="E217" s="4">
        <f>'Tabulation Sheet'!E217</f>
        <v>0</v>
      </c>
      <c r="F217" s="4">
        <f>'Tabulation Sheet'!F217</f>
        <v>0</v>
      </c>
      <c r="G217" s="69"/>
      <c r="H217" s="69"/>
      <c r="I217" s="69"/>
      <c r="J217" s="69"/>
      <c r="K217" s="5"/>
      <c r="L217" s="5"/>
      <c r="M217" s="5"/>
      <c r="N217" s="5"/>
    </row>
    <row r="218" spans="2:14" ht="15.75" customHeight="1">
      <c r="B218" s="58">
        <f>'Tabulation Sheet'!B218</f>
        <v>0</v>
      </c>
      <c r="C218" s="66">
        <f>'Tabulation Sheet'!C218</f>
        <v>0</v>
      </c>
      <c r="D218" s="4">
        <f>'Tabulation Sheet'!D218</f>
        <v>0</v>
      </c>
      <c r="E218" s="4">
        <f>'Tabulation Sheet'!E218</f>
        <v>0</v>
      </c>
      <c r="F218" s="4">
        <f>'Tabulation Sheet'!F218</f>
        <v>0</v>
      </c>
      <c r="G218" s="69"/>
      <c r="H218" s="69"/>
      <c r="I218" s="69"/>
      <c r="J218" s="69"/>
      <c r="K218" s="5"/>
      <c r="L218" s="5"/>
      <c r="M218" s="5"/>
      <c r="N218" s="5"/>
    </row>
    <row r="219" spans="2:14" ht="15.75" customHeight="1">
      <c r="B219" s="58">
        <f>'Tabulation Sheet'!B219</f>
        <v>0</v>
      </c>
      <c r="C219" s="66">
        <f>'Tabulation Sheet'!C219</f>
        <v>0</v>
      </c>
      <c r="D219" s="4">
        <f>'Tabulation Sheet'!D219</f>
        <v>0</v>
      </c>
      <c r="E219" s="4">
        <f>'Tabulation Sheet'!E219</f>
        <v>0</v>
      </c>
      <c r="F219" s="4">
        <f>'Tabulation Sheet'!F219</f>
        <v>0</v>
      </c>
      <c r="G219" s="69"/>
      <c r="H219" s="69"/>
      <c r="I219" s="69"/>
      <c r="J219" s="69"/>
      <c r="K219" s="5"/>
      <c r="L219" s="5"/>
      <c r="M219" s="5"/>
      <c r="N219" s="5"/>
    </row>
    <row r="220" spans="2:14" ht="15.75" customHeight="1">
      <c r="B220" s="58">
        <f>'Tabulation Sheet'!B220</f>
        <v>0</v>
      </c>
      <c r="C220" s="66">
        <f>'Tabulation Sheet'!C220</f>
        <v>0</v>
      </c>
      <c r="D220" s="4">
        <f>'Tabulation Sheet'!D220</f>
        <v>0</v>
      </c>
      <c r="E220" s="4">
        <f>'Tabulation Sheet'!E220</f>
        <v>0</v>
      </c>
      <c r="F220" s="4">
        <f>'Tabulation Sheet'!F220</f>
        <v>0</v>
      </c>
      <c r="G220" s="69"/>
      <c r="H220" s="69"/>
      <c r="I220" s="69"/>
      <c r="J220" s="69"/>
      <c r="K220" s="5"/>
      <c r="L220" s="5"/>
      <c r="M220" s="5"/>
      <c r="N220" s="5"/>
    </row>
    <row r="221" spans="2:14" ht="15.75" customHeight="1">
      <c r="B221" s="58">
        <f>'Tabulation Sheet'!B221</f>
        <v>0</v>
      </c>
      <c r="C221" s="66">
        <f>'Tabulation Sheet'!C221</f>
        <v>0</v>
      </c>
      <c r="D221" s="4">
        <f>'Tabulation Sheet'!D221</f>
        <v>0</v>
      </c>
      <c r="E221" s="4">
        <f>'Tabulation Sheet'!E221</f>
        <v>0</v>
      </c>
      <c r="F221" s="4">
        <f>'Tabulation Sheet'!F221</f>
        <v>0</v>
      </c>
      <c r="G221" s="69"/>
      <c r="H221" s="69"/>
      <c r="I221" s="69"/>
      <c r="J221" s="69"/>
      <c r="K221" s="5"/>
      <c r="L221" s="5"/>
      <c r="M221" s="5"/>
      <c r="N221" s="5"/>
    </row>
    <row r="222" spans="2:14" ht="15.75" customHeight="1">
      <c r="B222" s="58">
        <f>'Tabulation Sheet'!B222</f>
        <v>0</v>
      </c>
      <c r="C222" s="66">
        <f>'Tabulation Sheet'!C222</f>
        <v>0</v>
      </c>
      <c r="D222" s="4">
        <f>'Tabulation Sheet'!D222</f>
        <v>0</v>
      </c>
      <c r="E222" s="4">
        <f>'Tabulation Sheet'!E222</f>
        <v>0</v>
      </c>
      <c r="F222" s="4">
        <f>'Tabulation Sheet'!F222</f>
        <v>0</v>
      </c>
      <c r="G222" s="69"/>
      <c r="H222" s="69"/>
      <c r="I222" s="69"/>
      <c r="J222" s="69"/>
      <c r="K222" s="5"/>
      <c r="L222" s="5"/>
      <c r="M222" s="5"/>
      <c r="N222" s="5"/>
    </row>
    <row r="223" spans="2:14" ht="15.75" customHeight="1">
      <c r="B223" s="58">
        <f>'Tabulation Sheet'!B223</f>
        <v>0</v>
      </c>
      <c r="C223" s="66">
        <f>'Tabulation Sheet'!C223</f>
        <v>0</v>
      </c>
      <c r="D223" s="4">
        <f>'Tabulation Sheet'!D223</f>
        <v>0</v>
      </c>
      <c r="E223" s="4">
        <f>'Tabulation Sheet'!E223</f>
        <v>0</v>
      </c>
      <c r="F223" s="4">
        <f>'Tabulation Sheet'!F223</f>
        <v>0</v>
      </c>
      <c r="G223" s="69"/>
      <c r="H223" s="69"/>
      <c r="I223" s="69"/>
      <c r="J223" s="69"/>
      <c r="K223" s="5"/>
      <c r="L223" s="5"/>
      <c r="M223" s="5"/>
      <c r="N223" s="5"/>
    </row>
    <row r="224" spans="2:14" ht="15.75" customHeight="1">
      <c r="B224" s="58">
        <f>'Tabulation Sheet'!B224</f>
        <v>0</v>
      </c>
      <c r="C224" s="66">
        <f>'Tabulation Sheet'!C224</f>
        <v>0</v>
      </c>
      <c r="D224" s="4">
        <f>'Tabulation Sheet'!D224</f>
        <v>0</v>
      </c>
      <c r="E224" s="4">
        <f>'Tabulation Sheet'!E224</f>
        <v>0</v>
      </c>
      <c r="F224" s="4">
        <f>'Tabulation Sheet'!F224</f>
        <v>0</v>
      </c>
      <c r="G224" s="69"/>
      <c r="H224" s="69"/>
      <c r="I224" s="69"/>
      <c r="J224" s="69"/>
      <c r="K224" s="5"/>
      <c r="L224" s="5"/>
      <c r="M224" s="5"/>
      <c r="N224" s="5"/>
    </row>
    <row r="225" spans="2:14" ht="15.75" customHeight="1">
      <c r="B225" s="58">
        <f>'Tabulation Sheet'!B225</f>
        <v>0</v>
      </c>
      <c r="C225" s="66">
        <f>'Tabulation Sheet'!C225</f>
        <v>0</v>
      </c>
      <c r="D225" s="4">
        <f>'Tabulation Sheet'!D225</f>
        <v>0</v>
      </c>
      <c r="E225" s="4">
        <f>'Tabulation Sheet'!E225</f>
        <v>0</v>
      </c>
      <c r="F225" s="4">
        <f>'Tabulation Sheet'!F225</f>
        <v>0</v>
      </c>
      <c r="G225" s="69"/>
      <c r="H225" s="69"/>
      <c r="I225" s="69"/>
      <c r="J225" s="69"/>
      <c r="K225" s="5"/>
      <c r="L225" s="5"/>
      <c r="M225" s="5"/>
      <c r="N225" s="5"/>
    </row>
    <row r="226" spans="2:14" ht="15.75" customHeight="1">
      <c r="B226" s="58">
        <f>'Tabulation Sheet'!B226</f>
        <v>0</v>
      </c>
      <c r="C226" s="66">
        <f>'Tabulation Sheet'!C226</f>
        <v>0</v>
      </c>
      <c r="D226" s="4">
        <f>'Tabulation Sheet'!D226</f>
        <v>0</v>
      </c>
      <c r="E226" s="4">
        <f>'Tabulation Sheet'!E226</f>
        <v>0</v>
      </c>
      <c r="F226" s="4">
        <f>'Tabulation Sheet'!F226</f>
        <v>0</v>
      </c>
      <c r="G226" s="69"/>
      <c r="H226" s="69"/>
      <c r="I226" s="69"/>
      <c r="J226" s="69"/>
      <c r="K226" s="5"/>
      <c r="L226" s="5"/>
      <c r="M226" s="5"/>
      <c r="N226" s="5"/>
    </row>
    <row r="227" spans="2:14" ht="15.75" customHeight="1">
      <c r="B227" s="58">
        <f>'Tabulation Sheet'!B227</f>
        <v>0</v>
      </c>
      <c r="C227" s="66">
        <f>'Tabulation Sheet'!C227</f>
        <v>0</v>
      </c>
      <c r="D227" s="4">
        <f>'Tabulation Sheet'!D227</f>
        <v>0</v>
      </c>
      <c r="E227" s="4">
        <f>'Tabulation Sheet'!E227</f>
        <v>0</v>
      </c>
      <c r="F227" s="4">
        <f>'Tabulation Sheet'!F227</f>
        <v>0</v>
      </c>
      <c r="G227" s="69"/>
      <c r="H227" s="69"/>
      <c r="I227" s="69"/>
      <c r="J227" s="69"/>
      <c r="K227" s="5"/>
      <c r="L227" s="5"/>
      <c r="M227" s="5"/>
      <c r="N227" s="5"/>
    </row>
    <row r="228" spans="2:14" ht="15.75" customHeight="1">
      <c r="B228" s="58">
        <f>'Tabulation Sheet'!B228</f>
        <v>0</v>
      </c>
      <c r="C228" s="66">
        <f>'Tabulation Sheet'!C228</f>
        <v>0</v>
      </c>
      <c r="D228" s="4">
        <f>'Tabulation Sheet'!D228</f>
        <v>0</v>
      </c>
      <c r="E228" s="4">
        <f>'Tabulation Sheet'!E228</f>
        <v>0</v>
      </c>
      <c r="F228" s="4">
        <f>'Tabulation Sheet'!F228</f>
        <v>0</v>
      </c>
      <c r="G228" s="69"/>
      <c r="H228" s="69"/>
      <c r="I228" s="69"/>
      <c r="J228" s="69"/>
      <c r="K228" s="5"/>
      <c r="L228" s="5"/>
      <c r="M228" s="5"/>
      <c r="N228" s="5"/>
    </row>
    <row r="229" spans="2:14" ht="15.75" customHeight="1">
      <c r="B229" s="58">
        <f>'Tabulation Sheet'!B229</f>
        <v>0</v>
      </c>
      <c r="C229" s="66">
        <f>'Tabulation Sheet'!C229</f>
        <v>0</v>
      </c>
      <c r="D229" s="4">
        <f>'Tabulation Sheet'!D229</f>
        <v>0</v>
      </c>
      <c r="E229" s="4">
        <f>'Tabulation Sheet'!E229</f>
        <v>0</v>
      </c>
      <c r="F229" s="4">
        <f>'Tabulation Sheet'!F229</f>
        <v>0</v>
      </c>
      <c r="G229" s="69"/>
      <c r="H229" s="69"/>
      <c r="I229" s="69"/>
      <c r="J229" s="69"/>
      <c r="K229" s="5"/>
      <c r="L229" s="5"/>
      <c r="M229" s="5"/>
      <c r="N229" s="5"/>
    </row>
    <row r="230" spans="2:14" ht="15.75" customHeight="1">
      <c r="B230" s="58">
        <f>'Tabulation Sheet'!B230</f>
        <v>0</v>
      </c>
      <c r="C230" s="66">
        <f>'Tabulation Sheet'!C230</f>
        <v>0</v>
      </c>
      <c r="D230" s="4">
        <f>'Tabulation Sheet'!D230</f>
        <v>0</v>
      </c>
      <c r="E230" s="4">
        <f>'Tabulation Sheet'!E230</f>
        <v>0</v>
      </c>
      <c r="F230" s="4">
        <f>'Tabulation Sheet'!F230</f>
        <v>0</v>
      </c>
      <c r="G230" s="69"/>
      <c r="H230" s="69"/>
      <c r="I230" s="69"/>
      <c r="J230" s="69"/>
      <c r="K230" s="5"/>
      <c r="L230" s="5"/>
      <c r="M230" s="5"/>
      <c r="N230" s="5"/>
    </row>
    <row r="231" spans="2:14" ht="15.75" customHeight="1">
      <c r="B231" s="58">
        <f>'Tabulation Sheet'!B231</f>
        <v>0</v>
      </c>
      <c r="C231" s="66">
        <f>'Tabulation Sheet'!C231</f>
        <v>0</v>
      </c>
      <c r="D231" s="4">
        <f>'Tabulation Sheet'!D231</f>
        <v>0</v>
      </c>
      <c r="E231" s="4">
        <f>'Tabulation Sheet'!E231</f>
        <v>0</v>
      </c>
      <c r="F231" s="4">
        <f>'Tabulation Sheet'!F231</f>
        <v>0</v>
      </c>
      <c r="G231" s="69"/>
      <c r="H231" s="69"/>
      <c r="I231" s="69"/>
      <c r="J231" s="69"/>
      <c r="K231" s="5"/>
      <c r="L231" s="5"/>
      <c r="M231" s="5"/>
      <c r="N231" s="5"/>
    </row>
    <row r="232" spans="2:14" ht="15.75" customHeight="1">
      <c r="B232" s="58">
        <f>'Tabulation Sheet'!B232</f>
        <v>0</v>
      </c>
      <c r="C232" s="66">
        <f>'Tabulation Sheet'!C232</f>
        <v>0</v>
      </c>
      <c r="D232" s="4">
        <f>'Tabulation Sheet'!D232</f>
        <v>0</v>
      </c>
      <c r="E232" s="4">
        <f>'Tabulation Sheet'!E232</f>
        <v>0</v>
      </c>
      <c r="F232" s="4">
        <f>'Tabulation Sheet'!F232</f>
        <v>0</v>
      </c>
      <c r="G232" s="69"/>
      <c r="H232" s="69"/>
      <c r="I232" s="69"/>
      <c r="J232" s="69"/>
      <c r="K232" s="5"/>
      <c r="L232" s="5"/>
      <c r="M232" s="5"/>
      <c r="N232" s="5"/>
    </row>
    <row r="233" spans="2:14" ht="15.75" customHeight="1">
      <c r="B233" s="58">
        <f>'Tabulation Sheet'!B233</f>
        <v>0</v>
      </c>
      <c r="C233" s="66">
        <f>'Tabulation Sheet'!C233</f>
        <v>0</v>
      </c>
      <c r="D233" s="4">
        <f>'Tabulation Sheet'!D233</f>
        <v>0</v>
      </c>
      <c r="E233" s="4">
        <f>'Tabulation Sheet'!E233</f>
        <v>0</v>
      </c>
      <c r="F233" s="4">
        <f>'Tabulation Sheet'!F233</f>
        <v>0</v>
      </c>
      <c r="G233" s="69"/>
      <c r="H233" s="69"/>
      <c r="I233" s="69"/>
      <c r="J233" s="69"/>
      <c r="K233" s="5"/>
      <c r="L233" s="5"/>
      <c r="M233" s="5"/>
      <c r="N233" s="5"/>
    </row>
    <row r="234" spans="2:14" ht="15.75" customHeight="1">
      <c r="B234" s="58">
        <f>'Tabulation Sheet'!B234</f>
        <v>0</v>
      </c>
      <c r="C234" s="66">
        <f>'Tabulation Sheet'!C234</f>
        <v>0</v>
      </c>
      <c r="D234" s="4">
        <f>'Tabulation Sheet'!D234</f>
        <v>0</v>
      </c>
      <c r="E234" s="4">
        <f>'Tabulation Sheet'!E234</f>
        <v>0</v>
      </c>
      <c r="F234" s="4">
        <f>'Tabulation Sheet'!F234</f>
        <v>0</v>
      </c>
      <c r="G234" s="69"/>
      <c r="H234" s="69"/>
      <c r="I234" s="69"/>
      <c r="J234" s="69"/>
      <c r="K234" s="5"/>
      <c r="L234" s="5"/>
      <c r="M234" s="5"/>
      <c r="N234" s="5"/>
    </row>
    <row r="235" spans="2:14" ht="15.75" customHeight="1">
      <c r="B235" s="58">
        <f>'Tabulation Sheet'!B235</f>
        <v>0</v>
      </c>
      <c r="C235" s="66">
        <f>'Tabulation Sheet'!C235</f>
        <v>0</v>
      </c>
      <c r="D235" s="4">
        <f>'Tabulation Sheet'!D235</f>
        <v>0</v>
      </c>
      <c r="E235" s="4">
        <f>'Tabulation Sheet'!E235</f>
        <v>0</v>
      </c>
      <c r="F235" s="4">
        <f>'Tabulation Sheet'!F235</f>
        <v>0</v>
      </c>
      <c r="G235" s="69"/>
      <c r="H235" s="69"/>
      <c r="I235" s="69"/>
      <c r="J235" s="69"/>
      <c r="K235" s="5"/>
      <c r="L235" s="5"/>
      <c r="M235" s="5"/>
      <c r="N235" s="5"/>
    </row>
    <row r="236" spans="2:14" ht="15.75" customHeight="1">
      <c r="B236" s="58">
        <f>'Tabulation Sheet'!B236</f>
        <v>0</v>
      </c>
      <c r="C236" s="66">
        <f>'Tabulation Sheet'!C236</f>
        <v>0</v>
      </c>
      <c r="D236" s="4">
        <f>'Tabulation Sheet'!D236</f>
        <v>0</v>
      </c>
      <c r="E236" s="4">
        <f>'Tabulation Sheet'!E236</f>
        <v>0</v>
      </c>
      <c r="F236" s="4">
        <f>'Tabulation Sheet'!F236</f>
        <v>0</v>
      </c>
      <c r="G236" s="69"/>
      <c r="H236" s="69"/>
      <c r="I236" s="69"/>
      <c r="J236" s="69"/>
      <c r="K236" s="5"/>
      <c r="L236" s="5"/>
      <c r="M236" s="5"/>
      <c r="N236" s="5"/>
    </row>
    <row r="237" spans="2:14" ht="15.75" customHeight="1">
      <c r="B237" s="58">
        <f>'Tabulation Sheet'!B237</f>
        <v>0</v>
      </c>
      <c r="C237" s="66">
        <f>'Tabulation Sheet'!C237</f>
        <v>0</v>
      </c>
      <c r="D237" s="4">
        <f>'Tabulation Sheet'!D237</f>
        <v>0</v>
      </c>
      <c r="E237" s="4">
        <f>'Tabulation Sheet'!E237</f>
        <v>0</v>
      </c>
      <c r="F237" s="4">
        <f>'Tabulation Sheet'!F237</f>
        <v>0</v>
      </c>
      <c r="G237" s="69"/>
      <c r="H237" s="69"/>
      <c r="I237" s="69"/>
      <c r="J237" s="69"/>
      <c r="K237" s="5"/>
      <c r="L237" s="5"/>
      <c r="M237" s="5"/>
      <c r="N237" s="5"/>
    </row>
    <row r="238" spans="2:14" ht="15.75" customHeight="1">
      <c r="B238" s="58">
        <f>'Tabulation Sheet'!B238</f>
        <v>0</v>
      </c>
      <c r="C238" s="66">
        <f>'Tabulation Sheet'!C238</f>
        <v>0</v>
      </c>
      <c r="D238" s="4">
        <f>'Tabulation Sheet'!D238</f>
        <v>0</v>
      </c>
      <c r="E238" s="4">
        <f>'Tabulation Sheet'!E238</f>
        <v>0</v>
      </c>
      <c r="F238" s="4">
        <f>'Tabulation Sheet'!F238</f>
        <v>0</v>
      </c>
      <c r="G238" s="69"/>
      <c r="H238" s="69"/>
      <c r="I238" s="69"/>
      <c r="J238" s="69"/>
      <c r="K238" s="5"/>
      <c r="L238" s="5"/>
      <c r="M238" s="5"/>
      <c r="N238" s="5"/>
    </row>
    <row r="239" spans="2:14" ht="15.75" customHeight="1">
      <c r="B239" s="58">
        <f>'Tabulation Sheet'!B239</f>
        <v>0</v>
      </c>
      <c r="C239" s="66">
        <f>'Tabulation Sheet'!C239</f>
        <v>0</v>
      </c>
      <c r="D239" s="4">
        <f>'Tabulation Sheet'!D239</f>
        <v>0</v>
      </c>
      <c r="E239" s="4">
        <f>'Tabulation Sheet'!E239</f>
        <v>0</v>
      </c>
      <c r="F239" s="4">
        <f>'Tabulation Sheet'!F239</f>
        <v>0</v>
      </c>
      <c r="G239" s="69"/>
      <c r="H239" s="69"/>
      <c r="I239" s="69"/>
      <c r="J239" s="69"/>
      <c r="K239" s="5"/>
      <c r="L239" s="5"/>
      <c r="M239" s="5"/>
      <c r="N239" s="5"/>
    </row>
    <row r="240" spans="2:14" ht="15.75" customHeight="1">
      <c r="B240" s="58">
        <f>'Tabulation Sheet'!B240</f>
        <v>0</v>
      </c>
      <c r="C240" s="66">
        <f>'Tabulation Sheet'!C240</f>
        <v>0</v>
      </c>
      <c r="D240" s="4">
        <f>'Tabulation Sheet'!D240</f>
        <v>0</v>
      </c>
      <c r="E240" s="4">
        <f>'Tabulation Sheet'!E240</f>
        <v>0</v>
      </c>
      <c r="F240" s="4">
        <f>'Tabulation Sheet'!F240</f>
        <v>0</v>
      </c>
      <c r="G240" s="69"/>
      <c r="H240" s="69"/>
      <c r="I240" s="69"/>
      <c r="J240" s="69"/>
      <c r="K240" s="5"/>
      <c r="L240" s="5"/>
      <c r="M240" s="5"/>
      <c r="N240" s="5"/>
    </row>
    <row r="241" spans="2:14" ht="15.75" customHeight="1">
      <c r="B241" s="58">
        <f>'Tabulation Sheet'!B241</f>
        <v>0</v>
      </c>
      <c r="C241" s="66">
        <f>'Tabulation Sheet'!C241</f>
        <v>0</v>
      </c>
      <c r="D241" s="4">
        <f>'Tabulation Sheet'!D241</f>
        <v>0</v>
      </c>
      <c r="E241" s="4">
        <f>'Tabulation Sheet'!E241</f>
        <v>0</v>
      </c>
      <c r="F241" s="4">
        <f>'Tabulation Sheet'!F241</f>
        <v>0</v>
      </c>
      <c r="G241" s="69"/>
      <c r="H241" s="69"/>
      <c r="I241" s="69"/>
      <c r="J241" s="69"/>
      <c r="K241" s="5"/>
      <c r="L241" s="5"/>
      <c r="M241" s="5"/>
      <c r="N241" s="5"/>
    </row>
    <row r="242" spans="2:14" ht="15.75" customHeight="1">
      <c r="B242" s="58">
        <f>'Tabulation Sheet'!B242</f>
        <v>0</v>
      </c>
      <c r="C242" s="66">
        <f>'Tabulation Sheet'!C242</f>
        <v>0</v>
      </c>
      <c r="D242" s="4">
        <f>'Tabulation Sheet'!D242</f>
        <v>0</v>
      </c>
      <c r="E242" s="4">
        <f>'Tabulation Sheet'!E242</f>
        <v>0</v>
      </c>
      <c r="F242" s="4">
        <f>'Tabulation Sheet'!F242</f>
        <v>0</v>
      </c>
      <c r="G242" s="69"/>
      <c r="H242" s="69"/>
      <c r="I242" s="69"/>
      <c r="J242" s="69"/>
      <c r="K242" s="5"/>
      <c r="L242" s="5"/>
      <c r="M242" s="5"/>
      <c r="N242" s="5"/>
    </row>
    <row r="243" spans="2:14" ht="15.75" customHeight="1">
      <c r="B243" s="58">
        <f>'Tabulation Sheet'!B243</f>
        <v>0</v>
      </c>
      <c r="C243" s="66">
        <f>'Tabulation Sheet'!C243</f>
        <v>0</v>
      </c>
      <c r="D243" s="4">
        <f>'Tabulation Sheet'!D243</f>
        <v>0</v>
      </c>
      <c r="E243" s="4">
        <f>'Tabulation Sheet'!E243</f>
        <v>0</v>
      </c>
      <c r="F243" s="4">
        <f>'Tabulation Sheet'!F243</f>
        <v>0</v>
      </c>
      <c r="G243" s="69"/>
      <c r="H243" s="69"/>
      <c r="I243" s="69"/>
      <c r="J243" s="69"/>
      <c r="K243" s="5"/>
      <c r="L243" s="5"/>
      <c r="M243" s="5"/>
      <c r="N243" s="5"/>
    </row>
    <row r="244" spans="2:14" ht="15.75" customHeight="1">
      <c r="B244" s="58">
        <f>'Tabulation Sheet'!B244</f>
        <v>0</v>
      </c>
      <c r="C244" s="66">
        <f>'Tabulation Sheet'!C244</f>
        <v>0</v>
      </c>
      <c r="D244" s="4">
        <f>'Tabulation Sheet'!D244</f>
        <v>0</v>
      </c>
      <c r="E244" s="4">
        <f>'Tabulation Sheet'!E244</f>
        <v>0</v>
      </c>
      <c r="F244" s="4">
        <f>'Tabulation Sheet'!F244</f>
        <v>0</v>
      </c>
      <c r="G244" s="69"/>
      <c r="H244" s="69"/>
      <c r="I244" s="69"/>
      <c r="J244" s="69"/>
      <c r="K244" s="5"/>
      <c r="L244" s="5"/>
      <c r="M244" s="5"/>
      <c r="N244" s="5"/>
    </row>
    <row r="245" spans="2:14" ht="15.75" customHeight="1">
      <c r="B245" s="58">
        <f>'Tabulation Sheet'!B245</f>
        <v>0</v>
      </c>
      <c r="C245" s="66">
        <f>'Tabulation Sheet'!C245</f>
        <v>0</v>
      </c>
      <c r="D245" s="4">
        <f>'Tabulation Sheet'!D245</f>
        <v>0</v>
      </c>
      <c r="E245" s="4">
        <f>'Tabulation Sheet'!E245</f>
        <v>0</v>
      </c>
      <c r="F245" s="4">
        <f>'Tabulation Sheet'!F245</f>
        <v>0</v>
      </c>
      <c r="G245" s="69"/>
      <c r="H245" s="69"/>
      <c r="I245" s="69"/>
      <c r="J245" s="69"/>
      <c r="K245" s="5"/>
      <c r="L245" s="5"/>
      <c r="M245" s="5"/>
      <c r="N245" s="5"/>
    </row>
    <row r="246" spans="2:14" ht="15.75" customHeight="1">
      <c r="B246" s="58">
        <f>'Tabulation Sheet'!B246</f>
        <v>0</v>
      </c>
      <c r="C246" s="66">
        <f>'Tabulation Sheet'!C246</f>
        <v>0</v>
      </c>
      <c r="D246" s="4">
        <f>'Tabulation Sheet'!D246</f>
        <v>0</v>
      </c>
      <c r="E246" s="4">
        <f>'Tabulation Sheet'!E246</f>
        <v>0</v>
      </c>
      <c r="F246" s="4">
        <f>'Tabulation Sheet'!F246</f>
        <v>0</v>
      </c>
      <c r="G246" s="69"/>
      <c r="H246" s="69"/>
      <c r="I246" s="69"/>
      <c r="J246" s="69"/>
      <c r="K246" s="5"/>
      <c r="L246" s="5"/>
      <c r="M246" s="5"/>
      <c r="N246" s="5"/>
    </row>
    <row r="247" spans="2:14" ht="15.75" customHeight="1">
      <c r="B247" s="58">
        <f>'Tabulation Sheet'!B247</f>
        <v>0</v>
      </c>
      <c r="C247" s="66">
        <f>'Tabulation Sheet'!C247</f>
        <v>0</v>
      </c>
      <c r="D247" s="4">
        <f>'Tabulation Sheet'!D247</f>
        <v>0</v>
      </c>
      <c r="E247" s="4">
        <f>'Tabulation Sheet'!E247</f>
        <v>0</v>
      </c>
      <c r="F247" s="4">
        <f>'Tabulation Sheet'!F247</f>
        <v>0</v>
      </c>
      <c r="G247" s="69"/>
      <c r="H247" s="69"/>
      <c r="I247" s="69"/>
      <c r="J247" s="69"/>
      <c r="K247" s="5"/>
      <c r="L247" s="5"/>
      <c r="M247" s="5"/>
      <c r="N247" s="5"/>
    </row>
    <row r="248" spans="2:14" ht="15.75" customHeight="1">
      <c r="B248" s="58">
        <f>'Tabulation Sheet'!B248</f>
        <v>0</v>
      </c>
      <c r="C248" s="66">
        <f>'Tabulation Sheet'!C248</f>
        <v>0</v>
      </c>
      <c r="D248" s="4">
        <f>'Tabulation Sheet'!D248</f>
        <v>0</v>
      </c>
      <c r="E248" s="4">
        <f>'Tabulation Sheet'!E248</f>
        <v>0</v>
      </c>
      <c r="F248" s="4">
        <f>'Tabulation Sheet'!F248</f>
        <v>0</v>
      </c>
      <c r="G248" s="69"/>
      <c r="H248" s="69"/>
      <c r="I248" s="69"/>
      <c r="J248" s="69"/>
      <c r="K248" s="5"/>
      <c r="L248" s="5"/>
      <c r="M248" s="5"/>
      <c r="N248" s="5"/>
    </row>
    <row r="249" spans="2:14" ht="15.75" customHeight="1">
      <c r="B249" s="58">
        <f>'Tabulation Sheet'!B249</f>
        <v>0</v>
      </c>
      <c r="C249" s="66">
        <f>'Tabulation Sheet'!C249</f>
        <v>0</v>
      </c>
      <c r="D249" s="4">
        <f>'Tabulation Sheet'!D249</f>
        <v>0</v>
      </c>
      <c r="E249" s="4">
        <f>'Tabulation Sheet'!E249</f>
        <v>0</v>
      </c>
      <c r="F249" s="4">
        <f>'Tabulation Sheet'!F249</f>
        <v>0</v>
      </c>
      <c r="G249" s="69"/>
      <c r="H249" s="69"/>
      <c r="I249" s="69"/>
      <c r="J249" s="69"/>
      <c r="K249" s="5"/>
      <c r="L249" s="5"/>
      <c r="M249" s="5"/>
      <c r="N249" s="5"/>
    </row>
    <row r="250" spans="2:14" ht="15.75" customHeight="1">
      <c r="B250" s="58">
        <f>'Tabulation Sheet'!B250</f>
        <v>0</v>
      </c>
      <c r="C250" s="66">
        <f>'Tabulation Sheet'!C250</f>
        <v>0</v>
      </c>
      <c r="D250" s="4">
        <f>'Tabulation Sheet'!D250</f>
        <v>0</v>
      </c>
      <c r="E250" s="4">
        <f>'Tabulation Sheet'!E250</f>
        <v>0</v>
      </c>
      <c r="F250" s="4">
        <f>'Tabulation Sheet'!F250</f>
        <v>0</v>
      </c>
      <c r="G250" s="69"/>
      <c r="H250" s="69"/>
      <c r="I250" s="69"/>
      <c r="J250" s="69"/>
      <c r="K250" s="5"/>
      <c r="L250" s="5"/>
      <c r="M250" s="5"/>
      <c r="N250" s="5"/>
    </row>
    <row r="251" spans="2:14" ht="15.75" customHeight="1">
      <c r="B251" s="58">
        <f>'Tabulation Sheet'!B251</f>
        <v>0</v>
      </c>
      <c r="C251" s="66">
        <f>'Tabulation Sheet'!C251</f>
        <v>0</v>
      </c>
      <c r="D251" s="4">
        <f>'Tabulation Sheet'!D251</f>
        <v>0</v>
      </c>
      <c r="E251" s="4">
        <f>'Tabulation Sheet'!E251</f>
        <v>0</v>
      </c>
      <c r="F251" s="4">
        <f>'Tabulation Sheet'!F251</f>
        <v>0</v>
      </c>
      <c r="G251" s="69"/>
      <c r="H251" s="69"/>
      <c r="I251" s="69"/>
      <c r="J251" s="69"/>
      <c r="K251" s="5"/>
      <c r="L251" s="5"/>
      <c r="M251" s="5"/>
      <c r="N251" s="5"/>
    </row>
    <row r="252" spans="2:14" ht="15.75" customHeight="1">
      <c r="B252" s="58">
        <f>'Tabulation Sheet'!B252</f>
        <v>0</v>
      </c>
      <c r="C252" s="66">
        <f>'Tabulation Sheet'!C252</f>
        <v>0</v>
      </c>
      <c r="D252" s="4">
        <f>'Tabulation Sheet'!D252</f>
        <v>0</v>
      </c>
      <c r="E252" s="4">
        <f>'Tabulation Sheet'!E252</f>
        <v>0</v>
      </c>
      <c r="F252" s="4">
        <f>'Tabulation Sheet'!F252</f>
        <v>0</v>
      </c>
      <c r="G252" s="69"/>
      <c r="H252" s="69"/>
      <c r="I252" s="69"/>
      <c r="J252" s="69"/>
      <c r="K252" s="5"/>
      <c r="L252" s="5"/>
      <c r="M252" s="5"/>
      <c r="N252" s="5"/>
    </row>
    <row r="253" spans="2:14" ht="15.75" customHeight="1">
      <c r="B253" s="58">
        <f>'Tabulation Sheet'!B253</f>
        <v>0</v>
      </c>
      <c r="C253" s="66">
        <f>'Tabulation Sheet'!C253</f>
        <v>0</v>
      </c>
      <c r="D253" s="4">
        <f>'Tabulation Sheet'!D253</f>
        <v>0</v>
      </c>
      <c r="E253" s="4">
        <f>'Tabulation Sheet'!E253</f>
        <v>0</v>
      </c>
      <c r="F253" s="4">
        <f>'Tabulation Sheet'!F253</f>
        <v>0</v>
      </c>
      <c r="G253" s="69"/>
      <c r="H253" s="69"/>
      <c r="I253" s="69"/>
      <c r="J253" s="69"/>
      <c r="K253" s="5"/>
      <c r="L253" s="5"/>
      <c r="M253" s="5"/>
      <c r="N253" s="5"/>
    </row>
    <row r="254" spans="2:14" ht="15.75" customHeight="1">
      <c r="B254" s="58">
        <f>'Tabulation Sheet'!B254</f>
        <v>0</v>
      </c>
      <c r="C254" s="66">
        <f>'Tabulation Sheet'!C254</f>
        <v>0</v>
      </c>
      <c r="D254" s="4">
        <f>'Tabulation Sheet'!D254</f>
        <v>0</v>
      </c>
      <c r="E254" s="4">
        <f>'Tabulation Sheet'!E254</f>
        <v>0</v>
      </c>
      <c r="F254" s="4">
        <f>'Tabulation Sheet'!F254</f>
        <v>0</v>
      </c>
      <c r="G254" s="69"/>
      <c r="H254" s="69"/>
      <c r="I254" s="69"/>
      <c r="J254" s="69"/>
      <c r="K254" s="5"/>
      <c r="L254" s="5"/>
      <c r="M254" s="5"/>
      <c r="N254" s="5"/>
    </row>
    <row r="255" spans="2:14" ht="15.75" customHeight="1">
      <c r="B255" s="58">
        <f>'Tabulation Sheet'!B255</f>
        <v>0</v>
      </c>
      <c r="C255" s="66">
        <f>'Tabulation Sheet'!C255</f>
        <v>0</v>
      </c>
      <c r="D255" s="4">
        <f>'Tabulation Sheet'!D255</f>
        <v>0</v>
      </c>
      <c r="E255" s="4">
        <f>'Tabulation Sheet'!E255</f>
        <v>0</v>
      </c>
      <c r="F255" s="4">
        <f>'Tabulation Sheet'!F255</f>
        <v>0</v>
      </c>
      <c r="G255" s="69"/>
      <c r="H255" s="69"/>
      <c r="I255" s="69"/>
      <c r="J255" s="69"/>
      <c r="K255" s="5"/>
      <c r="L255" s="5"/>
      <c r="M255" s="5"/>
      <c r="N255" s="5"/>
    </row>
    <row r="256" spans="2:14" ht="15.75" customHeight="1">
      <c r="B256" s="58">
        <f>'Tabulation Sheet'!B256</f>
        <v>0</v>
      </c>
      <c r="C256" s="66">
        <f>'Tabulation Sheet'!C256</f>
        <v>0</v>
      </c>
      <c r="D256" s="4">
        <f>'Tabulation Sheet'!D256</f>
        <v>0</v>
      </c>
      <c r="E256" s="4">
        <f>'Tabulation Sheet'!E256</f>
        <v>0</v>
      </c>
      <c r="F256" s="4">
        <f>'Tabulation Sheet'!F256</f>
        <v>0</v>
      </c>
      <c r="G256" s="69"/>
      <c r="H256" s="69"/>
      <c r="I256" s="69"/>
      <c r="J256" s="69"/>
      <c r="K256" s="5"/>
      <c r="L256" s="5"/>
      <c r="M256" s="5"/>
      <c r="N256" s="5"/>
    </row>
    <row r="257" spans="2:14" ht="15.75" customHeight="1">
      <c r="B257" s="58">
        <f>'Tabulation Sheet'!B257</f>
        <v>0</v>
      </c>
      <c r="C257" s="66">
        <f>'Tabulation Sheet'!C257</f>
        <v>0</v>
      </c>
      <c r="D257" s="4">
        <f>'Tabulation Sheet'!D257</f>
        <v>0</v>
      </c>
      <c r="E257" s="4">
        <f>'Tabulation Sheet'!E257</f>
        <v>0</v>
      </c>
      <c r="F257" s="4">
        <f>'Tabulation Sheet'!F257</f>
        <v>0</v>
      </c>
      <c r="G257" s="69"/>
      <c r="H257" s="69"/>
      <c r="I257" s="69"/>
      <c r="J257" s="69"/>
      <c r="K257" s="5"/>
      <c r="L257" s="5"/>
      <c r="M257" s="5"/>
      <c r="N257" s="5"/>
    </row>
    <row r="258" spans="2:14" ht="15.75" customHeight="1">
      <c r="B258" s="58">
        <f>'Tabulation Sheet'!B258</f>
        <v>0</v>
      </c>
      <c r="C258" s="66">
        <f>'Tabulation Sheet'!C258</f>
        <v>0</v>
      </c>
      <c r="D258" s="4">
        <f>'Tabulation Sheet'!D258</f>
        <v>0</v>
      </c>
      <c r="E258" s="4">
        <f>'Tabulation Sheet'!E258</f>
        <v>0</v>
      </c>
      <c r="F258" s="4">
        <f>'Tabulation Sheet'!F258</f>
        <v>0</v>
      </c>
      <c r="G258" s="69"/>
      <c r="H258" s="69"/>
      <c r="I258" s="69"/>
      <c r="J258" s="69"/>
      <c r="K258" s="5"/>
      <c r="L258" s="5"/>
      <c r="M258" s="5"/>
      <c r="N258" s="5"/>
    </row>
    <row r="259" spans="2:14" ht="15.75" customHeight="1">
      <c r="B259" s="58">
        <f>'Tabulation Sheet'!B259</f>
        <v>0</v>
      </c>
      <c r="C259" s="66">
        <f>'Tabulation Sheet'!C259</f>
        <v>0</v>
      </c>
      <c r="D259" s="4">
        <f>'Tabulation Sheet'!D259</f>
        <v>0</v>
      </c>
      <c r="E259" s="4">
        <f>'Tabulation Sheet'!E259</f>
        <v>0</v>
      </c>
      <c r="F259" s="4">
        <f>'Tabulation Sheet'!F259</f>
        <v>0</v>
      </c>
      <c r="G259" s="69"/>
      <c r="H259" s="69"/>
      <c r="I259" s="69"/>
      <c r="J259" s="69"/>
      <c r="K259" s="5"/>
      <c r="L259" s="5"/>
      <c r="M259" s="5"/>
      <c r="N259" s="5"/>
    </row>
    <row r="260" spans="2:14" ht="15.75" customHeight="1">
      <c r="B260" s="58">
        <f>'Tabulation Sheet'!B260</f>
        <v>0</v>
      </c>
      <c r="C260" s="66">
        <f>'Tabulation Sheet'!C260</f>
        <v>0</v>
      </c>
      <c r="D260" s="4">
        <f>'Tabulation Sheet'!D260</f>
        <v>0</v>
      </c>
      <c r="E260" s="4">
        <f>'Tabulation Sheet'!E260</f>
        <v>0</v>
      </c>
      <c r="F260" s="4">
        <f>'Tabulation Sheet'!F260</f>
        <v>0</v>
      </c>
      <c r="G260" s="69"/>
      <c r="H260" s="69"/>
      <c r="I260" s="69"/>
      <c r="J260" s="69"/>
      <c r="K260" s="5"/>
      <c r="L260" s="5"/>
      <c r="M260" s="5"/>
      <c r="N260" s="5"/>
    </row>
    <row r="261" spans="2:14" ht="15.75" customHeight="1">
      <c r="B261" s="58">
        <f>'Tabulation Sheet'!B261</f>
        <v>0</v>
      </c>
      <c r="C261" s="66">
        <f>'Tabulation Sheet'!C261</f>
        <v>0</v>
      </c>
      <c r="D261" s="4">
        <f>'Tabulation Sheet'!D261</f>
        <v>0</v>
      </c>
      <c r="E261" s="4">
        <f>'Tabulation Sheet'!E261</f>
        <v>0</v>
      </c>
      <c r="F261" s="4">
        <f>'Tabulation Sheet'!F261</f>
        <v>0</v>
      </c>
      <c r="G261" s="69"/>
      <c r="H261" s="69"/>
      <c r="I261" s="69"/>
      <c r="J261" s="69"/>
      <c r="K261" s="5"/>
      <c r="L261" s="5"/>
      <c r="M261" s="5"/>
      <c r="N261" s="5"/>
    </row>
    <row r="262" spans="2:14" ht="15.75" customHeight="1">
      <c r="B262" s="58">
        <f>'Tabulation Sheet'!B262</f>
        <v>0</v>
      </c>
      <c r="C262" s="66">
        <f>'Tabulation Sheet'!C262</f>
        <v>0</v>
      </c>
      <c r="D262" s="4">
        <f>'Tabulation Sheet'!D262</f>
        <v>0</v>
      </c>
      <c r="E262" s="4">
        <f>'Tabulation Sheet'!E262</f>
        <v>0</v>
      </c>
      <c r="F262" s="4">
        <f>'Tabulation Sheet'!F262</f>
        <v>0</v>
      </c>
      <c r="G262" s="69"/>
      <c r="H262" s="69"/>
      <c r="I262" s="69"/>
      <c r="J262" s="69"/>
      <c r="K262" s="5"/>
      <c r="L262" s="5"/>
      <c r="M262" s="5"/>
      <c r="N262" s="5"/>
    </row>
    <row r="263" spans="2:14" ht="15.75" customHeight="1">
      <c r="B263" s="58">
        <f>'Tabulation Sheet'!B263</f>
        <v>0</v>
      </c>
      <c r="C263" s="66">
        <f>'Tabulation Sheet'!C263</f>
        <v>0</v>
      </c>
      <c r="D263" s="4">
        <f>'Tabulation Sheet'!D263</f>
        <v>0</v>
      </c>
      <c r="E263" s="4">
        <f>'Tabulation Sheet'!E263</f>
        <v>0</v>
      </c>
      <c r="F263" s="4">
        <f>'Tabulation Sheet'!F263</f>
        <v>0</v>
      </c>
      <c r="G263" s="69"/>
      <c r="H263" s="69"/>
      <c r="I263" s="69"/>
      <c r="J263" s="69"/>
      <c r="K263" s="5"/>
      <c r="L263" s="5"/>
      <c r="M263" s="5"/>
      <c r="N263" s="5"/>
    </row>
    <row r="264" spans="2:14" ht="15.75" customHeight="1">
      <c r="B264" s="58">
        <f>'Tabulation Sheet'!B264</f>
        <v>0</v>
      </c>
      <c r="C264" s="66">
        <f>'Tabulation Sheet'!C264</f>
        <v>0</v>
      </c>
      <c r="D264" s="4">
        <f>'Tabulation Sheet'!D264</f>
        <v>0</v>
      </c>
      <c r="E264" s="4">
        <f>'Tabulation Sheet'!E264</f>
        <v>0</v>
      </c>
      <c r="F264" s="4">
        <f>'Tabulation Sheet'!F264</f>
        <v>0</v>
      </c>
      <c r="G264" s="69"/>
      <c r="H264" s="69"/>
      <c r="I264" s="69"/>
      <c r="J264" s="69"/>
      <c r="K264" s="5"/>
      <c r="L264" s="5"/>
      <c r="M264" s="5"/>
      <c r="N264" s="5"/>
    </row>
    <row r="265" spans="2:14" ht="15.75" customHeight="1">
      <c r="B265" s="58">
        <f>'Tabulation Sheet'!B265</f>
        <v>0</v>
      </c>
      <c r="C265" s="66">
        <f>'Tabulation Sheet'!C265</f>
        <v>0</v>
      </c>
      <c r="D265" s="4">
        <f>'Tabulation Sheet'!D265</f>
        <v>0</v>
      </c>
      <c r="E265" s="4">
        <f>'Tabulation Sheet'!E265</f>
        <v>0</v>
      </c>
      <c r="F265" s="4">
        <f>'Tabulation Sheet'!F265</f>
        <v>0</v>
      </c>
      <c r="G265" s="69"/>
      <c r="H265" s="69"/>
      <c r="I265" s="69"/>
      <c r="J265" s="69"/>
      <c r="K265" s="5"/>
      <c r="L265" s="5"/>
      <c r="M265" s="5"/>
      <c r="N265" s="5"/>
    </row>
    <row r="266" spans="2:14" ht="15.75" customHeight="1">
      <c r="B266" s="58">
        <f>'Tabulation Sheet'!B266</f>
        <v>0</v>
      </c>
      <c r="C266" s="66">
        <f>'Tabulation Sheet'!C266</f>
        <v>0</v>
      </c>
      <c r="D266" s="4">
        <f>'Tabulation Sheet'!D266</f>
        <v>0</v>
      </c>
      <c r="E266" s="4">
        <f>'Tabulation Sheet'!E266</f>
        <v>0</v>
      </c>
      <c r="F266" s="4">
        <f>'Tabulation Sheet'!F266</f>
        <v>0</v>
      </c>
      <c r="G266" s="69"/>
      <c r="H266" s="69"/>
      <c r="I266" s="69"/>
      <c r="J266" s="69"/>
      <c r="K266" s="5"/>
      <c r="L266" s="5"/>
      <c r="M266" s="5"/>
      <c r="N266" s="5"/>
    </row>
    <row r="267" spans="2:14" ht="15.75" customHeight="1">
      <c r="B267" s="58">
        <f>'Tabulation Sheet'!B267</f>
        <v>0</v>
      </c>
      <c r="C267" s="66">
        <f>'Tabulation Sheet'!C267</f>
        <v>0</v>
      </c>
      <c r="D267" s="4">
        <f>'Tabulation Sheet'!D267</f>
        <v>0</v>
      </c>
      <c r="E267" s="4">
        <f>'Tabulation Sheet'!E267</f>
        <v>0</v>
      </c>
      <c r="F267" s="4">
        <f>'Tabulation Sheet'!F267</f>
        <v>0</v>
      </c>
      <c r="G267" s="69"/>
      <c r="H267" s="69"/>
      <c r="I267" s="69"/>
      <c r="J267" s="69"/>
      <c r="K267" s="5"/>
      <c r="L267" s="5"/>
      <c r="M267" s="5"/>
      <c r="N267" s="5"/>
    </row>
    <row r="268" spans="2:14" ht="15.75" customHeight="1">
      <c r="B268" s="58">
        <f>'Tabulation Sheet'!B268</f>
        <v>0</v>
      </c>
      <c r="C268" s="66">
        <f>'Tabulation Sheet'!C268</f>
        <v>0</v>
      </c>
      <c r="D268" s="4">
        <f>'Tabulation Sheet'!D268</f>
        <v>0</v>
      </c>
      <c r="E268" s="4">
        <f>'Tabulation Sheet'!E268</f>
        <v>0</v>
      </c>
      <c r="F268" s="4">
        <f>'Tabulation Sheet'!F268</f>
        <v>0</v>
      </c>
      <c r="G268" s="69"/>
      <c r="H268" s="69"/>
      <c r="I268" s="69"/>
      <c r="J268" s="69"/>
      <c r="K268" s="5"/>
      <c r="L268" s="5"/>
      <c r="M268" s="5"/>
      <c r="N268" s="5"/>
    </row>
    <row r="269" spans="2:14" ht="15.75" customHeight="1">
      <c r="B269" s="58">
        <f>'Tabulation Sheet'!B269</f>
        <v>0</v>
      </c>
      <c r="C269" s="66">
        <f>'Tabulation Sheet'!C269</f>
        <v>0</v>
      </c>
      <c r="D269" s="4">
        <f>'Tabulation Sheet'!D269</f>
        <v>0</v>
      </c>
      <c r="E269" s="4">
        <f>'Tabulation Sheet'!E269</f>
        <v>0</v>
      </c>
      <c r="F269" s="4">
        <f>'Tabulation Sheet'!F269</f>
        <v>0</v>
      </c>
      <c r="G269" s="69"/>
      <c r="H269" s="69"/>
      <c r="I269" s="69"/>
      <c r="J269" s="69"/>
      <c r="K269" s="5"/>
      <c r="L269" s="5"/>
      <c r="M269" s="5"/>
      <c r="N269" s="5"/>
    </row>
    <row r="270" spans="2:14" ht="15.75" customHeight="1">
      <c r="B270" s="58">
        <f>'Tabulation Sheet'!B270</f>
        <v>0</v>
      </c>
      <c r="C270" s="66">
        <f>'Tabulation Sheet'!C270</f>
        <v>0</v>
      </c>
      <c r="D270" s="4">
        <f>'Tabulation Sheet'!D270</f>
        <v>0</v>
      </c>
      <c r="E270" s="4">
        <f>'Tabulation Sheet'!E270</f>
        <v>0</v>
      </c>
      <c r="F270" s="4">
        <f>'Tabulation Sheet'!F270</f>
        <v>0</v>
      </c>
      <c r="G270" s="69"/>
      <c r="H270" s="69"/>
      <c r="I270" s="69"/>
      <c r="J270" s="69"/>
      <c r="K270" s="5"/>
      <c r="L270" s="5"/>
      <c r="M270" s="5"/>
      <c r="N270" s="5"/>
    </row>
    <row r="271" spans="2:14" ht="15.75" customHeight="1">
      <c r="B271" s="58">
        <f>'Tabulation Sheet'!B271</f>
        <v>0</v>
      </c>
      <c r="C271" s="66">
        <f>'Tabulation Sheet'!C271</f>
        <v>0</v>
      </c>
      <c r="D271" s="4">
        <f>'Tabulation Sheet'!D271</f>
        <v>0</v>
      </c>
      <c r="E271" s="4">
        <f>'Tabulation Sheet'!E271</f>
        <v>0</v>
      </c>
      <c r="F271" s="4">
        <f>'Tabulation Sheet'!F271</f>
        <v>0</v>
      </c>
      <c r="G271" s="69"/>
      <c r="H271" s="69"/>
      <c r="I271" s="69"/>
      <c r="J271" s="69"/>
      <c r="K271" s="5"/>
      <c r="L271" s="5"/>
      <c r="M271" s="5"/>
      <c r="N271" s="5"/>
    </row>
    <row r="272" spans="2:14" ht="15.75" customHeight="1">
      <c r="B272" s="58">
        <f>'Tabulation Sheet'!B272</f>
        <v>0</v>
      </c>
      <c r="C272" s="66">
        <f>'Tabulation Sheet'!C272</f>
        <v>0</v>
      </c>
      <c r="D272" s="4">
        <f>'Tabulation Sheet'!D272</f>
        <v>0</v>
      </c>
      <c r="E272" s="4">
        <f>'Tabulation Sheet'!E272</f>
        <v>0</v>
      </c>
      <c r="F272" s="4">
        <f>'Tabulation Sheet'!F272</f>
        <v>0</v>
      </c>
      <c r="G272" s="69"/>
      <c r="H272" s="69"/>
      <c r="I272" s="69"/>
      <c r="J272" s="69"/>
      <c r="K272" s="5"/>
      <c r="L272" s="5"/>
      <c r="M272" s="5"/>
      <c r="N272" s="5"/>
    </row>
    <row r="273" spans="2:14" ht="15.75" customHeight="1">
      <c r="B273" s="58">
        <f>'Tabulation Sheet'!B273</f>
        <v>0</v>
      </c>
      <c r="C273" s="66">
        <f>'Tabulation Sheet'!C273</f>
        <v>0</v>
      </c>
      <c r="D273" s="4">
        <f>'Tabulation Sheet'!D273</f>
        <v>0</v>
      </c>
      <c r="E273" s="4">
        <f>'Tabulation Sheet'!E273</f>
        <v>0</v>
      </c>
      <c r="F273" s="4">
        <f>'Tabulation Sheet'!F273</f>
        <v>0</v>
      </c>
      <c r="G273" s="69"/>
      <c r="H273" s="69"/>
      <c r="I273" s="69"/>
      <c r="J273" s="69"/>
      <c r="K273" s="5"/>
      <c r="L273" s="5"/>
      <c r="M273" s="5"/>
      <c r="N273" s="5"/>
    </row>
    <row r="274" spans="2:14" ht="15.75" customHeight="1">
      <c r="B274" s="58">
        <f>'Tabulation Sheet'!B274</f>
        <v>0</v>
      </c>
      <c r="C274" s="66">
        <f>'Tabulation Sheet'!C274</f>
        <v>0</v>
      </c>
      <c r="D274" s="4">
        <f>'Tabulation Sheet'!D274</f>
        <v>0</v>
      </c>
      <c r="E274" s="4">
        <f>'Tabulation Sheet'!E274</f>
        <v>0</v>
      </c>
      <c r="F274" s="4">
        <f>'Tabulation Sheet'!F274</f>
        <v>0</v>
      </c>
      <c r="G274" s="69"/>
      <c r="H274" s="69"/>
      <c r="I274" s="69"/>
      <c r="J274" s="69"/>
      <c r="K274" s="5"/>
      <c r="L274" s="5"/>
      <c r="M274" s="5"/>
      <c r="N274" s="5"/>
    </row>
    <row r="275" spans="2:14" ht="15.75" customHeight="1">
      <c r="B275" s="58">
        <f>'Tabulation Sheet'!B275</f>
        <v>0</v>
      </c>
      <c r="C275" s="66">
        <f>'Tabulation Sheet'!C275</f>
        <v>0</v>
      </c>
      <c r="D275" s="4">
        <f>'Tabulation Sheet'!D275</f>
        <v>0</v>
      </c>
      <c r="E275" s="4">
        <f>'Tabulation Sheet'!E275</f>
        <v>0</v>
      </c>
      <c r="F275" s="4">
        <f>'Tabulation Sheet'!F275</f>
        <v>0</v>
      </c>
      <c r="G275" s="69"/>
      <c r="H275" s="69"/>
      <c r="I275" s="69"/>
      <c r="J275" s="69"/>
      <c r="K275" s="5"/>
      <c r="L275" s="5"/>
      <c r="M275" s="5"/>
      <c r="N275" s="5"/>
    </row>
    <row r="276" spans="2:14" ht="15.75" customHeight="1">
      <c r="B276" s="58">
        <f>'Tabulation Sheet'!B276</f>
        <v>0</v>
      </c>
      <c r="C276" s="66">
        <f>'Tabulation Sheet'!C276</f>
        <v>0</v>
      </c>
      <c r="D276" s="4">
        <f>'Tabulation Sheet'!D276</f>
        <v>0</v>
      </c>
      <c r="E276" s="4">
        <f>'Tabulation Sheet'!E276</f>
        <v>0</v>
      </c>
      <c r="F276" s="4">
        <f>'Tabulation Sheet'!F276</f>
        <v>0</v>
      </c>
      <c r="G276" s="69"/>
      <c r="H276" s="69"/>
      <c r="I276" s="69"/>
      <c r="J276" s="69"/>
      <c r="K276" s="5"/>
      <c r="L276" s="5"/>
      <c r="M276" s="5"/>
      <c r="N276" s="5"/>
    </row>
    <row r="277" spans="2:14" ht="15.75" customHeight="1">
      <c r="B277" s="58">
        <f>'Tabulation Sheet'!B277</f>
        <v>0</v>
      </c>
      <c r="C277" s="66">
        <f>'Tabulation Sheet'!C277</f>
        <v>0</v>
      </c>
      <c r="D277" s="4">
        <f>'Tabulation Sheet'!D277</f>
        <v>0</v>
      </c>
      <c r="E277" s="4">
        <f>'Tabulation Sheet'!E277</f>
        <v>0</v>
      </c>
      <c r="F277" s="4">
        <f>'Tabulation Sheet'!F277</f>
        <v>0</v>
      </c>
      <c r="G277" s="69"/>
      <c r="H277" s="69"/>
      <c r="I277" s="69"/>
      <c r="J277" s="69"/>
      <c r="K277" s="5"/>
      <c r="L277" s="5"/>
      <c r="M277" s="5"/>
      <c r="N277" s="5"/>
    </row>
    <row r="278" spans="2:14" ht="15.75" customHeight="1">
      <c r="B278" s="58">
        <f>'Tabulation Sheet'!B278</f>
        <v>0</v>
      </c>
      <c r="C278" s="66">
        <f>'Tabulation Sheet'!C278</f>
        <v>0</v>
      </c>
      <c r="D278" s="4">
        <f>'Tabulation Sheet'!D278</f>
        <v>0</v>
      </c>
      <c r="E278" s="4">
        <f>'Tabulation Sheet'!E278</f>
        <v>0</v>
      </c>
      <c r="F278" s="4">
        <f>'Tabulation Sheet'!F278</f>
        <v>0</v>
      </c>
      <c r="G278" s="69"/>
      <c r="H278" s="69"/>
      <c r="I278" s="69"/>
      <c r="J278" s="69"/>
      <c r="K278" s="5"/>
      <c r="L278" s="5"/>
      <c r="M278" s="5"/>
      <c r="N278" s="5"/>
    </row>
    <row r="279" spans="2:14" ht="15.75" customHeight="1">
      <c r="B279" s="58">
        <f>'Tabulation Sheet'!B279</f>
        <v>0</v>
      </c>
      <c r="C279" s="66">
        <f>'Tabulation Sheet'!C279</f>
        <v>0</v>
      </c>
      <c r="D279" s="4">
        <f>'Tabulation Sheet'!D279</f>
        <v>0</v>
      </c>
      <c r="E279" s="4">
        <f>'Tabulation Sheet'!E279</f>
        <v>0</v>
      </c>
      <c r="F279" s="4">
        <f>'Tabulation Sheet'!F279</f>
        <v>0</v>
      </c>
      <c r="G279" s="69"/>
      <c r="H279" s="69"/>
      <c r="I279" s="69"/>
      <c r="J279" s="69"/>
      <c r="K279" s="5"/>
      <c r="L279" s="5"/>
      <c r="M279" s="5"/>
      <c r="N279" s="5"/>
    </row>
    <row r="280" spans="2:14" ht="15.75" customHeight="1">
      <c r="B280" s="58">
        <f>'Tabulation Sheet'!B280</f>
        <v>0</v>
      </c>
      <c r="C280" s="66">
        <f>'Tabulation Sheet'!C280</f>
        <v>0</v>
      </c>
      <c r="D280" s="4">
        <f>'Tabulation Sheet'!D280</f>
        <v>0</v>
      </c>
      <c r="E280" s="4">
        <f>'Tabulation Sheet'!E280</f>
        <v>0</v>
      </c>
      <c r="F280" s="4">
        <f>'Tabulation Sheet'!F280</f>
        <v>0</v>
      </c>
      <c r="G280" s="69"/>
      <c r="H280" s="69"/>
      <c r="I280" s="69"/>
      <c r="J280" s="69"/>
      <c r="K280" s="5"/>
      <c r="L280" s="5"/>
      <c r="M280" s="5"/>
      <c r="N280" s="5"/>
    </row>
    <row r="281" spans="2:14" ht="15.75" customHeight="1">
      <c r="B281" s="58">
        <f>'Tabulation Sheet'!B281</f>
        <v>0</v>
      </c>
      <c r="C281" s="66">
        <f>'Tabulation Sheet'!C281</f>
        <v>0</v>
      </c>
      <c r="D281" s="4">
        <f>'Tabulation Sheet'!D281</f>
        <v>0</v>
      </c>
      <c r="E281" s="4">
        <f>'Tabulation Sheet'!E281</f>
        <v>0</v>
      </c>
      <c r="F281" s="4">
        <f>'Tabulation Sheet'!F281</f>
        <v>0</v>
      </c>
      <c r="G281" s="69"/>
      <c r="H281" s="69"/>
      <c r="I281" s="69"/>
      <c r="J281" s="69"/>
      <c r="K281" s="5"/>
      <c r="L281" s="5"/>
      <c r="M281" s="5"/>
      <c r="N281" s="5"/>
    </row>
    <row r="282" spans="2:14" ht="15.75" customHeight="1">
      <c r="B282" s="58">
        <f>'Tabulation Sheet'!B282</f>
        <v>0</v>
      </c>
      <c r="C282" s="66">
        <f>'Tabulation Sheet'!C282</f>
        <v>0</v>
      </c>
      <c r="D282" s="4">
        <f>'Tabulation Sheet'!D282</f>
        <v>0</v>
      </c>
      <c r="E282" s="4">
        <f>'Tabulation Sheet'!E282</f>
        <v>0</v>
      </c>
      <c r="F282" s="4">
        <f>'Tabulation Sheet'!F282</f>
        <v>0</v>
      </c>
      <c r="G282" s="69"/>
      <c r="H282" s="69"/>
      <c r="I282" s="69"/>
      <c r="J282" s="69"/>
      <c r="K282" s="5"/>
      <c r="L282" s="5"/>
      <c r="M282" s="5"/>
      <c r="N282" s="5"/>
    </row>
    <row r="283" spans="2:14" ht="15.75" customHeight="1">
      <c r="B283" s="58">
        <f>'Tabulation Sheet'!B283</f>
        <v>0</v>
      </c>
      <c r="C283" s="66">
        <f>'Tabulation Sheet'!C283</f>
        <v>0</v>
      </c>
      <c r="D283" s="4">
        <f>'Tabulation Sheet'!D283</f>
        <v>0</v>
      </c>
      <c r="E283" s="4">
        <f>'Tabulation Sheet'!E283</f>
        <v>0</v>
      </c>
      <c r="F283" s="4">
        <f>'Tabulation Sheet'!F283</f>
        <v>0</v>
      </c>
      <c r="G283" s="69"/>
      <c r="H283" s="69"/>
      <c r="I283" s="69"/>
      <c r="J283" s="69"/>
      <c r="K283" s="5"/>
      <c r="L283" s="5"/>
      <c r="M283" s="5"/>
      <c r="N283" s="5"/>
    </row>
    <row r="284" spans="2:14" ht="15.75" customHeight="1">
      <c r="B284" s="58">
        <f>'Tabulation Sheet'!B284</f>
        <v>0</v>
      </c>
      <c r="C284" s="66">
        <f>'Tabulation Sheet'!C284</f>
        <v>0</v>
      </c>
      <c r="D284" s="4">
        <f>'Tabulation Sheet'!D284</f>
        <v>0</v>
      </c>
      <c r="E284" s="4">
        <f>'Tabulation Sheet'!E284</f>
        <v>0</v>
      </c>
      <c r="F284" s="4">
        <f>'Tabulation Sheet'!F284</f>
        <v>0</v>
      </c>
      <c r="G284" s="69"/>
      <c r="H284" s="69"/>
      <c r="I284" s="69"/>
      <c r="J284" s="69"/>
      <c r="K284" s="5"/>
      <c r="L284" s="5"/>
      <c r="M284" s="5"/>
      <c r="N284" s="5"/>
    </row>
    <row r="285" spans="2:14" ht="15.75" customHeight="1">
      <c r="B285" s="58">
        <f>'Tabulation Sheet'!B285</f>
        <v>0</v>
      </c>
      <c r="C285" s="66">
        <f>'Tabulation Sheet'!C285</f>
        <v>0</v>
      </c>
      <c r="D285" s="4">
        <f>'Tabulation Sheet'!D285</f>
        <v>0</v>
      </c>
      <c r="E285" s="4">
        <f>'Tabulation Sheet'!E285</f>
        <v>0</v>
      </c>
      <c r="F285" s="4">
        <f>'Tabulation Sheet'!F285</f>
        <v>0</v>
      </c>
      <c r="G285" s="69"/>
      <c r="H285" s="69"/>
      <c r="I285" s="69"/>
      <c r="J285" s="69"/>
      <c r="K285" s="5"/>
      <c r="L285" s="5"/>
      <c r="M285" s="5"/>
      <c r="N285" s="5"/>
    </row>
    <row r="286" spans="2:14" ht="15.75" customHeight="1">
      <c r="B286" s="58">
        <f>'Tabulation Sheet'!B286</f>
        <v>0</v>
      </c>
      <c r="C286" s="66">
        <f>'Tabulation Sheet'!C286</f>
        <v>0</v>
      </c>
      <c r="D286" s="4">
        <f>'Tabulation Sheet'!D286</f>
        <v>0</v>
      </c>
      <c r="E286" s="4">
        <f>'Tabulation Sheet'!E286</f>
        <v>0</v>
      </c>
      <c r="F286" s="4">
        <f>'Tabulation Sheet'!F286</f>
        <v>0</v>
      </c>
      <c r="G286" s="69"/>
      <c r="H286" s="69"/>
      <c r="I286" s="69"/>
      <c r="J286" s="69"/>
      <c r="K286" s="5"/>
      <c r="L286" s="5"/>
      <c r="M286" s="5"/>
      <c r="N286" s="5"/>
    </row>
    <row r="287" spans="2:14" ht="15.75" customHeight="1">
      <c r="B287" s="58">
        <f>'Tabulation Sheet'!B287</f>
        <v>0</v>
      </c>
      <c r="C287" s="66">
        <f>'Tabulation Sheet'!C287</f>
        <v>0</v>
      </c>
      <c r="D287" s="4">
        <f>'Tabulation Sheet'!D287</f>
        <v>0</v>
      </c>
      <c r="E287" s="4">
        <f>'Tabulation Sheet'!E287</f>
        <v>0</v>
      </c>
      <c r="F287" s="4">
        <f>'Tabulation Sheet'!F287</f>
        <v>0</v>
      </c>
      <c r="G287" s="69"/>
      <c r="H287" s="69"/>
      <c r="I287" s="69"/>
      <c r="J287" s="69"/>
      <c r="K287" s="5"/>
      <c r="L287" s="5"/>
      <c r="M287" s="5"/>
      <c r="N287" s="5"/>
    </row>
    <row r="288" spans="2:14" ht="15.75" customHeight="1">
      <c r="B288" s="58">
        <f>'Tabulation Sheet'!B288</f>
        <v>0</v>
      </c>
      <c r="C288" s="66">
        <f>'Tabulation Sheet'!C288</f>
        <v>0</v>
      </c>
      <c r="D288" s="4">
        <f>'Tabulation Sheet'!D288</f>
        <v>0</v>
      </c>
      <c r="E288" s="4">
        <f>'Tabulation Sheet'!E288</f>
        <v>0</v>
      </c>
      <c r="F288" s="4">
        <f>'Tabulation Sheet'!F288</f>
        <v>0</v>
      </c>
      <c r="G288" s="69"/>
      <c r="H288" s="69"/>
      <c r="I288" s="69"/>
      <c r="J288" s="69"/>
      <c r="K288" s="5"/>
      <c r="L288" s="5"/>
      <c r="M288" s="5"/>
      <c r="N288" s="5"/>
    </row>
    <row r="289" spans="2:14" ht="15.75" customHeight="1">
      <c r="B289" s="58">
        <f>'Tabulation Sheet'!B289</f>
        <v>0</v>
      </c>
      <c r="C289" s="66">
        <f>'Tabulation Sheet'!C289</f>
        <v>0</v>
      </c>
      <c r="D289" s="4">
        <f>'Tabulation Sheet'!D289</f>
        <v>0</v>
      </c>
      <c r="E289" s="4">
        <f>'Tabulation Sheet'!E289</f>
        <v>0</v>
      </c>
      <c r="F289" s="4">
        <f>'Tabulation Sheet'!F289</f>
        <v>0</v>
      </c>
      <c r="G289" s="69"/>
      <c r="H289" s="69"/>
      <c r="I289" s="69"/>
      <c r="J289" s="69"/>
      <c r="K289" s="5"/>
      <c r="L289" s="5"/>
      <c r="M289" s="5"/>
      <c r="N289" s="5"/>
    </row>
    <row r="290" spans="2:14" ht="15.75" customHeight="1">
      <c r="B290" s="58">
        <f>'Tabulation Sheet'!B290</f>
        <v>0</v>
      </c>
      <c r="C290" s="66">
        <f>'Tabulation Sheet'!C290</f>
        <v>0</v>
      </c>
      <c r="D290" s="4">
        <f>'Tabulation Sheet'!D290</f>
        <v>0</v>
      </c>
      <c r="E290" s="4">
        <f>'Tabulation Sheet'!E290</f>
        <v>0</v>
      </c>
      <c r="F290" s="4">
        <f>'Tabulation Sheet'!F290</f>
        <v>0</v>
      </c>
      <c r="G290" s="69"/>
      <c r="H290" s="69"/>
      <c r="I290" s="69"/>
      <c r="J290" s="69"/>
      <c r="K290" s="5"/>
      <c r="L290" s="5"/>
      <c r="M290" s="5"/>
      <c r="N290" s="5"/>
    </row>
    <row r="291" spans="2:14" ht="15.75" customHeight="1">
      <c r="B291" s="58">
        <f>'Tabulation Sheet'!B291</f>
        <v>0</v>
      </c>
      <c r="C291" s="66">
        <f>'Tabulation Sheet'!C291</f>
        <v>0</v>
      </c>
      <c r="D291" s="4">
        <f>'Tabulation Sheet'!D291</f>
        <v>0</v>
      </c>
      <c r="E291" s="4">
        <f>'Tabulation Sheet'!E291</f>
        <v>0</v>
      </c>
      <c r="F291" s="4">
        <f>'Tabulation Sheet'!F291</f>
        <v>0</v>
      </c>
      <c r="G291" s="69"/>
      <c r="H291" s="69"/>
      <c r="I291" s="69"/>
      <c r="J291" s="69"/>
      <c r="K291" s="5"/>
      <c r="L291" s="5"/>
      <c r="M291" s="5"/>
      <c r="N291" s="5"/>
    </row>
    <row r="292" spans="2:14" ht="15.75" customHeight="1">
      <c r="B292" s="58">
        <f>'Tabulation Sheet'!B292</f>
        <v>0</v>
      </c>
      <c r="C292" s="66">
        <f>'Tabulation Sheet'!C292</f>
        <v>0</v>
      </c>
      <c r="D292" s="4">
        <f>'Tabulation Sheet'!D292</f>
        <v>0</v>
      </c>
      <c r="E292" s="4">
        <f>'Tabulation Sheet'!E292</f>
        <v>0</v>
      </c>
      <c r="F292" s="4">
        <f>'Tabulation Sheet'!F292</f>
        <v>0</v>
      </c>
      <c r="G292" s="69"/>
      <c r="H292" s="69"/>
      <c r="I292" s="69"/>
      <c r="J292" s="69"/>
      <c r="K292" s="5"/>
      <c r="L292" s="5"/>
      <c r="M292" s="5"/>
      <c r="N292" s="5"/>
    </row>
    <row r="293" spans="2:14" ht="15.75" customHeight="1">
      <c r="B293" s="58">
        <f>'Tabulation Sheet'!B293</f>
        <v>0</v>
      </c>
      <c r="C293" s="66">
        <f>'Tabulation Sheet'!C293</f>
        <v>0</v>
      </c>
      <c r="D293" s="4">
        <f>'Tabulation Sheet'!D293</f>
        <v>0</v>
      </c>
      <c r="E293" s="4">
        <f>'Tabulation Sheet'!E293</f>
        <v>0</v>
      </c>
      <c r="F293" s="4">
        <f>'Tabulation Sheet'!F293</f>
        <v>0</v>
      </c>
      <c r="G293" s="69"/>
      <c r="H293" s="69"/>
      <c r="I293" s="69"/>
      <c r="J293" s="69"/>
      <c r="K293" s="5"/>
      <c r="L293" s="5"/>
      <c r="M293" s="5"/>
      <c r="N293" s="5"/>
    </row>
    <row r="294" spans="2:14" ht="15.75" customHeight="1">
      <c r="B294" s="58">
        <f>'Tabulation Sheet'!B294</f>
        <v>0</v>
      </c>
      <c r="C294" s="66">
        <f>'Tabulation Sheet'!C294</f>
        <v>0</v>
      </c>
      <c r="D294" s="4">
        <f>'Tabulation Sheet'!D294</f>
        <v>0</v>
      </c>
      <c r="E294" s="4">
        <f>'Tabulation Sheet'!E294</f>
        <v>0</v>
      </c>
      <c r="F294" s="4">
        <f>'Tabulation Sheet'!F294</f>
        <v>0</v>
      </c>
      <c r="G294" s="69"/>
      <c r="H294" s="69"/>
      <c r="I294" s="69"/>
      <c r="J294" s="69"/>
      <c r="K294" s="5"/>
      <c r="L294" s="5"/>
      <c r="M294" s="5"/>
      <c r="N294" s="5"/>
    </row>
    <row r="295" spans="2:14" ht="15.75" customHeight="1">
      <c r="B295" s="58">
        <f>'Tabulation Sheet'!B295</f>
        <v>0</v>
      </c>
      <c r="C295" s="66">
        <f>'Tabulation Sheet'!C295</f>
        <v>0</v>
      </c>
      <c r="D295" s="4">
        <f>'Tabulation Sheet'!D295</f>
        <v>0</v>
      </c>
      <c r="E295" s="4">
        <f>'Tabulation Sheet'!E295</f>
        <v>0</v>
      </c>
      <c r="F295" s="4">
        <f>'Tabulation Sheet'!F295</f>
        <v>0</v>
      </c>
      <c r="G295" s="69"/>
      <c r="H295" s="69"/>
      <c r="I295" s="69"/>
      <c r="J295" s="69"/>
      <c r="K295" s="5"/>
      <c r="L295" s="5"/>
      <c r="M295" s="5"/>
      <c r="N295" s="5"/>
    </row>
    <row r="296" spans="2:14" ht="15.75" customHeight="1">
      <c r="B296" s="58">
        <f>'Tabulation Sheet'!B296</f>
        <v>0</v>
      </c>
      <c r="C296" s="66">
        <f>'Tabulation Sheet'!C296</f>
        <v>0</v>
      </c>
      <c r="D296" s="4">
        <f>'Tabulation Sheet'!D296</f>
        <v>0</v>
      </c>
      <c r="E296" s="4">
        <f>'Tabulation Sheet'!E296</f>
        <v>0</v>
      </c>
      <c r="F296" s="4">
        <f>'Tabulation Sheet'!F296</f>
        <v>0</v>
      </c>
      <c r="G296" s="69"/>
      <c r="H296" s="69"/>
      <c r="I296" s="69"/>
      <c r="J296" s="69"/>
      <c r="K296" s="5"/>
      <c r="L296" s="5"/>
      <c r="M296" s="5"/>
      <c r="N296" s="5"/>
    </row>
    <row r="297" spans="2:14" ht="15.75" customHeight="1">
      <c r="B297" s="58">
        <f>'Tabulation Sheet'!B297</f>
        <v>0</v>
      </c>
      <c r="C297" s="66">
        <f>'Tabulation Sheet'!C297</f>
        <v>0</v>
      </c>
      <c r="D297" s="4">
        <f>'Tabulation Sheet'!D297</f>
        <v>0</v>
      </c>
      <c r="E297" s="4">
        <f>'Tabulation Sheet'!E297</f>
        <v>0</v>
      </c>
      <c r="F297" s="4">
        <f>'Tabulation Sheet'!F297</f>
        <v>0</v>
      </c>
      <c r="G297" s="69"/>
      <c r="H297" s="69"/>
      <c r="I297" s="69"/>
      <c r="J297" s="69"/>
      <c r="K297" s="5"/>
      <c r="L297" s="5"/>
      <c r="M297" s="5"/>
      <c r="N297" s="5"/>
    </row>
    <row r="298" spans="2:14" ht="15.75" customHeight="1">
      <c r="B298" s="58">
        <f>'Tabulation Sheet'!B298</f>
        <v>0</v>
      </c>
      <c r="C298" s="66">
        <f>'Tabulation Sheet'!C298</f>
        <v>0</v>
      </c>
      <c r="D298" s="4">
        <f>'Tabulation Sheet'!D298</f>
        <v>0</v>
      </c>
      <c r="E298" s="4">
        <f>'Tabulation Sheet'!E298</f>
        <v>0</v>
      </c>
      <c r="F298" s="4">
        <f>'Tabulation Sheet'!F298</f>
        <v>0</v>
      </c>
      <c r="G298" s="69"/>
      <c r="H298" s="69"/>
      <c r="I298" s="69"/>
      <c r="J298" s="69"/>
      <c r="K298" s="5"/>
      <c r="L298" s="5"/>
      <c r="M298" s="5"/>
      <c r="N298" s="5"/>
    </row>
    <row r="299" spans="2:14" ht="15.75" customHeight="1">
      <c r="B299" s="58">
        <f>'Tabulation Sheet'!B299</f>
        <v>0</v>
      </c>
      <c r="C299" s="66">
        <f>'Tabulation Sheet'!C299</f>
        <v>0</v>
      </c>
      <c r="D299" s="4">
        <f>'Tabulation Sheet'!D299</f>
        <v>0</v>
      </c>
      <c r="E299" s="4">
        <f>'Tabulation Sheet'!E299</f>
        <v>0</v>
      </c>
      <c r="F299" s="4">
        <f>'Tabulation Sheet'!F299</f>
        <v>0</v>
      </c>
      <c r="G299" s="69"/>
      <c r="H299" s="69"/>
      <c r="I299" s="69"/>
      <c r="J299" s="69"/>
      <c r="K299" s="5"/>
      <c r="L299" s="5"/>
      <c r="M299" s="5"/>
      <c r="N299" s="5"/>
    </row>
    <row r="300" spans="2:14" ht="15.75" customHeight="1">
      <c r="B300" s="58">
        <f>'Tabulation Sheet'!B300</f>
        <v>0</v>
      </c>
      <c r="C300" s="66">
        <f>'Tabulation Sheet'!C300</f>
        <v>0</v>
      </c>
      <c r="D300" s="4">
        <f>'Tabulation Sheet'!D300</f>
        <v>0</v>
      </c>
      <c r="E300" s="4">
        <f>'Tabulation Sheet'!E300</f>
        <v>0</v>
      </c>
      <c r="F300" s="4">
        <f>'Tabulation Sheet'!F300</f>
        <v>0</v>
      </c>
      <c r="G300" s="69"/>
      <c r="H300" s="69"/>
      <c r="I300" s="69"/>
      <c r="J300" s="69"/>
      <c r="K300" s="5"/>
      <c r="L300" s="5"/>
      <c r="M300" s="5"/>
      <c r="N300" s="5"/>
    </row>
    <row r="301" spans="2:14" ht="15.75" customHeight="1">
      <c r="B301" s="58">
        <f>'Tabulation Sheet'!B301</f>
        <v>0</v>
      </c>
      <c r="C301" s="66">
        <f>'Tabulation Sheet'!C301</f>
        <v>0</v>
      </c>
      <c r="D301" s="4">
        <f>'Tabulation Sheet'!D301</f>
        <v>0</v>
      </c>
      <c r="E301" s="4">
        <f>'Tabulation Sheet'!E301</f>
        <v>0</v>
      </c>
      <c r="F301" s="4">
        <f>'Tabulation Sheet'!F301</f>
        <v>0</v>
      </c>
      <c r="G301" s="69"/>
      <c r="H301" s="69"/>
      <c r="I301" s="69"/>
      <c r="J301" s="69"/>
      <c r="K301" s="5"/>
      <c r="L301" s="5"/>
      <c r="M301" s="5"/>
      <c r="N301" s="5"/>
    </row>
    <row r="302" spans="2:14" ht="15.75" customHeight="1">
      <c r="B302" s="58">
        <f>'Tabulation Sheet'!B302</f>
        <v>0</v>
      </c>
      <c r="C302" s="66">
        <f>'Tabulation Sheet'!C302</f>
        <v>0</v>
      </c>
      <c r="D302" s="4">
        <f>'Tabulation Sheet'!D302</f>
        <v>0</v>
      </c>
      <c r="E302" s="4">
        <f>'Tabulation Sheet'!E302</f>
        <v>0</v>
      </c>
      <c r="F302" s="4">
        <f>'Tabulation Sheet'!F302</f>
        <v>0</v>
      </c>
      <c r="G302" s="69"/>
      <c r="H302" s="69"/>
      <c r="I302" s="69"/>
      <c r="J302" s="69"/>
      <c r="K302" s="5"/>
      <c r="L302" s="5"/>
      <c r="M302" s="5"/>
      <c r="N302" s="5"/>
    </row>
    <row r="303" spans="2:14" ht="15.75" customHeight="1">
      <c r="B303" s="58">
        <f>'Tabulation Sheet'!B303</f>
        <v>0</v>
      </c>
      <c r="C303" s="66">
        <f>'Tabulation Sheet'!C303</f>
        <v>0</v>
      </c>
      <c r="D303" s="4">
        <f>'Tabulation Sheet'!D303</f>
        <v>0</v>
      </c>
      <c r="E303" s="4">
        <f>'Tabulation Sheet'!E303</f>
        <v>0</v>
      </c>
      <c r="F303" s="4">
        <f>'Tabulation Sheet'!F303</f>
        <v>0</v>
      </c>
      <c r="G303" s="69"/>
      <c r="H303" s="69"/>
      <c r="I303" s="69"/>
      <c r="J303" s="69"/>
      <c r="K303" s="5"/>
      <c r="L303" s="5"/>
      <c r="M303" s="5"/>
      <c r="N303" s="5"/>
    </row>
    <row r="304" spans="2:14" ht="15.75" customHeight="1">
      <c r="B304" s="58">
        <f>'Tabulation Sheet'!B304</f>
        <v>0</v>
      </c>
      <c r="C304" s="66">
        <f>'Tabulation Sheet'!C304</f>
        <v>0</v>
      </c>
      <c r="D304" s="4">
        <f>'Tabulation Sheet'!D304</f>
        <v>0</v>
      </c>
      <c r="E304" s="4">
        <f>'Tabulation Sheet'!E304</f>
        <v>0</v>
      </c>
      <c r="F304" s="4">
        <f>'Tabulation Sheet'!F304</f>
        <v>0</v>
      </c>
      <c r="G304" s="69"/>
      <c r="H304" s="69"/>
      <c r="I304" s="69"/>
      <c r="J304" s="69"/>
      <c r="K304" s="5"/>
      <c r="L304" s="5"/>
      <c r="M304" s="5"/>
      <c r="N304" s="5"/>
    </row>
    <row r="305" spans="2:14" ht="15.75" customHeight="1">
      <c r="B305" s="58">
        <f>'Tabulation Sheet'!B305</f>
        <v>0</v>
      </c>
      <c r="C305" s="66">
        <f>'Tabulation Sheet'!C305</f>
        <v>0</v>
      </c>
      <c r="D305" s="4">
        <f>'Tabulation Sheet'!D305</f>
        <v>0</v>
      </c>
      <c r="E305" s="4">
        <f>'Tabulation Sheet'!E305</f>
        <v>0</v>
      </c>
      <c r="F305" s="4">
        <f>'Tabulation Sheet'!F305</f>
        <v>0</v>
      </c>
      <c r="G305" s="69"/>
      <c r="H305" s="69"/>
      <c r="I305" s="69"/>
      <c r="J305" s="69"/>
      <c r="K305" s="5"/>
      <c r="L305" s="5"/>
      <c r="M305" s="5"/>
      <c r="N305" s="5"/>
    </row>
    <row r="306" spans="2:14" ht="15.75" customHeight="1">
      <c r="B306" s="58">
        <f>'Tabulation Sheet'!B306</f>
        <v>0</v>
      </c>
      <c r="C306" s="66">
        <f>'Tabulation Sheet'!C306</f>
        <v>0</v>
      </c>
      <c r="D306" s="4">
        <f>'Tabulation Sheet'!D306</f>
        <v>0</v>
      </c>
      <c r="E306" s="4">
        <f>'Tabulation Sheet'!E306</f>
        <v>0</v>
      </c>
      <c r="F306" s="4">
        <f>'Tabulation Sheet'!F306</f>
        <v>0</v>
      </c>
      <c r="G306" s="69"/>
      <c r="H306" s="69"/>
      <c r="I306" s="69"/>
      <c r="J306" s="69"/>
      <c r="K306" s="5"/>
      <c r="L306" s="5"/>
      <c r="M306" s="5"/>
      <c r="N306" s="5"/>
    </row>
    <row r="307" spans="2:14" ht="15.75" customHeight="1">
      <c r="B307" s="58">
        <f>'Tabulation Sheet'!B307</f>
        <v>0</v>
      </c>
      <c r="C307" s="66">
        <f>'Tabulation Sheet'!C307</f>
        <v>0</v>
      </c>
      <c r="D307" s="4">
        <f>'Tabulation Sheet'!D307</f>
        <v>0</v>
      </c>
      <c r="E307" s="4">
        <f>'Tabulation Sheet'!E307</f>
        <v>0</v>
      </c>
      <c r="F307" s="4">
        <f>'Tabulation Sheet'!F307</f>
        <v>0</v>
      </c>
      <c r="G307" s="69"/>
      <c r="H307" s="69"/>
      <c r="I307" s="69"/>
      <c r="J307" s="69"/>
      <c r="K307" s="5"/>
      <c r="L307" s="5"/>
      <c r="M307" s="5"/>
      <c r="N307" s="5"/>
    </row>
    <row r="308" spans="2:14" ht="15.75" customHeight="1">
      <c r="B308" s="58">
        <f>'Tabulation Sheet'!B308</f>
        <v>0</v>
      </c>
      <c r="C308" s="66">
        <f>'Tabulation Sheet'!C308</f>
        <v>0</v>
      </c>
      <c r="D308" s="4">
        <f>'Tabulation Sheet'!D308</f>
        <v>0</v>
      </c>
      <c r="E308" s="4">
        <f>'Tabulation Sheet'!E308</f>
        <v>0</v>
      </c>
      <c r="F308" s="4">
        <f>'Tabulation Sheet'!F308</f>
        <v>0</v>
      </c>
      <c r="G308" s="69"/>
      <c r="H308" s="69"/>
      <c r="I308" s="69"/>
      <c r="J308" s="69"/>
      <c r="K308" s="5"/>
      <c r="L308" s="5"/>
      <c r="M308" s="5"/>
      <c r="N308" s="5"/>
    </row>
    <row r="309" spans="2:14" ht="15.75" customHeight="1">
      <c r="B309" s="58">
        <f>'Tabulation Sheet'!B309</f>
        <v>0</v>
      </c>
      <c r="C309" s="66">
        <f>'Tabulation Sheet'!C309</f>
        <v>0</v>
      </c>
      <c r="D309" s="4">
        <f>'Tabulation Sheet'!D309</f>
        <v>0</v>
      </c>
      <c r="E309" s="4">
        <f>'Tabulation Sheet'!E309</f>
        <v>0</v>
      </c>
      <c r="F309" s="4">
        <f>'Tabulation Sheet'!F309</f>
        <v>0</v>
      </c>
      <c r="G309" s="69"/>
      <c r="H309" s="69"/>
      <c r="I309" s="69"/>
      <c r="J309" s="69"/>
      <c r="K309" s="5"/>
      <c r="L309" s="5"/>
      <c r="M309" s="5"/>
      <c r="N309" s="5"/>
    </row>
    <row r="310" spans="2:14" ht="15.75" customHeight="1">
      <c r="B310" s="58">
        <f>'Tabulation Sheet'!B310</f>
        <v>0</v>
      </c>
      <c r="C310" s="66">
        <f>'Tabulation Sheet'!C310</f>
        <v>0</v>
      </c>
      <c r="D310" s="4">
        <f>'Tabulation Sheet'!D310</f>
        <v>0</v>
      </c>
      <c r="E310" s="4">
        <f>'Tabulation Sheet'!E310</f>
        <v>0</v>
      </c>
      <c r="F310" s="4">
        <f>'Tabulation Sheet'!F310</f>
        <v>0</v>
      </c>
      <c r="G310" s="69"/>
      <c r="H310" s="69"/>
      <c r="I310" s="69"/>
      <c r="J310" s="69"/>
      <c r="K310" s="5"/>
      <c r="L310" s="5"/>
      <c r="M310" s="5"/>
      <c r="N310" s="5"/>
    </row>
    <row r="311" spans="2:14" ht="15.75" customHeight="1">
      <c r="B311" s="58">
        <f>'Tabulation Sheet'!B311</f>
        <v>0</v>
      </c>
      <c r="C311" s="66">
        <f>'Tabulation Sheet'!C311</f>
        <v>0</v>
      </c>
      <c r="D311" s="4">
        <f>'Tabulation Sheet'!D311</f>
        <v>0</v>
      </c>
      <c r="E311" s="4">
        <f>'Tabulation Sheet'!E311</f>
        <v>0</v>
      </c>
      <c r="F311" s="4">
        <f>'Tabulation Sheet'!F311</f>
        <v>0</v>
      </c>
      <c r="G311" s="69"/>
      <c r="H311" s="69"/>
      <c r="I311" s="69"/>
      <c r="J311" s="69"/>
      <c r="K311" s="5"/>
      <c r="L311" s="5"/>
      <c r="M311" s="5"/>
      <c r="N311" s="5"/>
    </row>
    <row r="312" spans="2:14" ht="15.75" customHeight="1">
      <c r="B312" s="58">
        <f>'Tabulation Sheet'!B312</f>
        <v>0</v>
      </c>
      <c r="C312" s="66">
        <f>'Tabulation Sheet'!C312</f>
        <v>0</v>
      </c>
      <c r="D312" s="4">
        <f>'Tabulation Sheet'!D312</f>
        <v>0</v>
      </c>
      <c r="E312" s="4">
        <f>'Tabulation Sheet'!E312</f>
        <v>0</v>
      </c>
      <c r="F312" s="4">
        <f>'Tabulation Sheet'!F312</f>
        <v>0</v>
      </c>
      <c r="G312" s="69"/>
      <c r="H312" s="69"/>
      <c r="I312" s="69"/>
      <c r="J312" s="69"/>
      <c r="K312" s="5"/>
      <c r="L312" s="5"/>
      <c r="M312" s="5"/>
      <c r="N312" s="5"/>
    </row>
    <row r="313" spans="2:14" ht="15.75" customHeight="1">
      <c r="B313" s="58">
        <f>'Tabulation Sheet'!B313</f>
        <v>0</v>
      </c>
      <c r="C313" s="66">
        <f>'Tabulation Sheet'!C313</f>
        <v>0</v>
      </c>
      <c r="D313" s="4">
        <f>'Tabulation Sheet'!D313</f>
        <v>0</v>
      </c>
      <c r="E313" s="4">
        <f>'Tabulation Sheet'!E313</f>
        <v>0</v>
      </c>
      <c r="F313" s="4">
        <f>'Tabulation Sheet'!F313</f>
        <v>0</v>
      </c>
      <c r="G313" s="69"/>
      <c r="H313" s="69"/>
      <c r="I313" s="69"/>
      <c r="J313" s="69"/>
      <c r="K313" s="5"/>
      <c r="L313" s="5"/>
      <c r="M313" s="5"/>
      <c r="N313" s="5"/>
    </row>
    <row r="314" spans="2:14" ht="15.75" customHeight="1">
      <c r="B314" s="58">
        <f>'Tabulation Sheet'!B314</f>
        <v>0</v>
      </c>
      <c r="C314" s="66">
        <f>'Tabulation Sheet'!C314</f>
        <v>0</v>
      </c>
      <c r="D314" s="4">
        <f>'Tabulation Sheet'!D314</f>
        <v>0</v>
      </c>
      <c r="E314" s="4">
        <f>'Tabulation Sheet'!E314</f>
        <v>0</v>
      </c>
      <c r="F314" s="4">
        <f>'Tabulation Sheet'!F314</f>
        <v>0</v>
      </c>
      <c r="G314" s="69"/>
      <c r="H314" s="69"/>
      <c r="I314" s="69"/>
      <c r="J314" s="69"/>
      <c r="K314" s="5"/>
      <c r="L314" s="5"/>
      <c r="M314" s="5"/>
      <c r="N314" s="5"/>
    </row>
    <row r="315" spans="2:14" ht="15.75" customHeight="1">
      <c r="B315" s="58">
        <f>'Tabulation Sheet'!B315</f>
        <v>0</v>
      </c>
      <c r="C315" s="66">
        <f>'Tabulation Sheet'!C315</f>
        <v>0</v>
      </c>
      <c r="D315" s="4">
        <f>'Tabulation Sheet'!D315</f>
        <v>0</v>
      </c>
      <c r="E315" s="4">
        <f>'Tabulation Sheet'!E315</f>
        <v>0</v>
      </c>
      <c r="F315" s="4">
        <f>'Tabulation Sheet'!F315</f>
        <v>0</v>
      </c>
      <c r="G315" s="69"/>
      <c r="H315" s="69"/>
      <c r="I315" s="69"/>
      <c r="J315" s="69"/>
      <c r="K315" s="5"/>
      <c r="L315" s="5"/>
      <c r="M315" s="5"/>
      <c r="N315" s="5"/>
    </row>
    <row r="316" spans="2:14" ht="15.75" customHeight="1">
      <c r="B316" s="58">
        <f>'Tabulation Sheet'!B316</f>
        <v>0</v>
      </c>
      <c r="C316" s="66">
        <f>'Tabulation Sheet'!C316</f>
        <v>0</v>
      </c>
      <c r="D316" s="4">
        <f>'Tabulation Sheet'!D316</f>
        <v>0</v>
      </c>
      <c r="E316" s="4">
        <f>'Tabulation Sheet'!E316</f>
        <v>0</v>
      </c>
      <c r="F316" s="4">
        <f>'Tabulation Sheet'!F316</f>
        <v>0</v>
      </c>
      <c r="G316" s="69"/>
      <c r="H316" s="69"/>
      <c r="I316" s="69"/>
      <c r="J316" s="69"/>
      <c r="K316" s="5"/>
      <c r="L316" s="5"/>
      <c r="M316" s="5"/>
      <c r="N316" s="5"/>
    </row>
    <row r="317" spans="2:14" ht="15.75" customHeight="1">
      <c r="B317" s="58">
        <f>'Tabulation Sheet'!B317</f>
        <v>0</v>
      </c>
      <c r="C317" s="66">
        <f>'Tabulation Sheet'!C317</f>
        <v>0</v>
      </c>
      <c r="D317" s="4">
        <f>'Tabulation Sheet'!D317</f>
        <v>0</v>
      </c>
      <c r="E317" s="4">
        <f>'Tabulation Sheet'!E317</f>
        <v>0</v>
      </c>
      <c r="F317" s="4">
        <f>'Tabulation Sheet'!F317</f>
        <v>0</v>
      </c>
      <c r="G317" s="69"/>
      <c r="H317" s="69"/>
      <c r="I317" s="69"/>
      <c r="J317" s="69"/>
      <c r="K317" s="5"/>
      <c r="L317" s="5"/>
      <c r="M317" s="5"/>
      <c r="N317" s="5"/>
    </row>
    <row r="318" spans="2:14" ht="15.75" customHeight="1">
      <c r="B318" s="58">
        <f>'Tabulation Sheet'!B318</f>
        <v>0</v>
      </c>
      <c r="C318" s="66">
        <f>'Tabulation Sheet'!C318</f>
        <v>0</v>
      </c>
      <c r="D318" s="4">
        <f>'Tabulation Sheet'!D318</f>
        <v>0</v>
      </c>
      <c r="E318" s="4">
        <f>'Tabulation Sheet'!E318</f>
        <v>0</v>
      </c>
      <c r="F318" s="4">
        <f>'Tabulation Sheet'!F318</f>
        <v>0</v>
      </c>
      <c r="G318" s="69"/>
      <c r="H318" s="69"/>
      <c r="I318" s="69"/>
      <c r="J318" s="69"/>
      <c r="K318" s="5"/>
      <c r="L318" s="5"/>
      <c r="M318" s="5"/>
      <c r="N318" s="5"/>
    </row>
    <row r="319" spans="2:14" ht="15.75" customHeight="1">
      <c r="B319" s="58">
        <f>'Tabulation Sheet'!B319</f>
        <v>0</v>
      </c>
      <c r="C319" s="66">
        <f>'Tabulation Sheet'!C319</f>
        <v>0</v>
      </c>
      <c r="D319" s="4">
        <f>'Tabulation Sheet'!D319</f>
        <v>0</v>
      </c>
      <c r="E319" s="4">
        <f>'Tabulation Sheet'!E319</f>
        <v>0</v>
      </c>
      <c r="F319" s="4">
        <f>'Tabulation Sheet'!F319</f>
        <v>0</v>
      </c>
      <c r="G319" s="69"/>
      <c r="H319" s="69"/>
      <c r="I319" s="69"/>
      <c r="J319" s="69"/>
      <c r="K319" s="5"/>
      <c r="L319" s="5"/>
      <c r="M319" s="5"/>
      <c r="N319" s="5"/>
    </row>
    <row r="320" spans="2:14" ht="15.75" customHeight="1">
      <c r="B320" s="58">
        <f>'Tabulation Sheet'!B320</f>
        <v>0</v>
      </c>
      <c r="C320" s="66">
        <f>'Tabulation Sheet'!C320</f>
        <v>0</v>
      </c>
      <c r="D320" s="4">
        <f>'Tabulation Sheet'!D320</f>
        <v>0</v>
      </c>
      <c r="E320" s="4">
        <f>'Tabulation Sheet'!E320</f>
        <v>0</v>
      </c>
      <c r="F320" s="4">
        <f>'Tabulation Sheet'!F320</f>
        <v>0</v>
      </c>
      <c r="G320" s="69"/>
      <c r="H320" s="69"/>
      <c r="I320" s="69"/>
      <c r="J320" s="69"/>
      <c r="K320" s="5"/>
      <c r="L320" s="5"/>
      <c r="M320" s="5"/>
      <c r="N320" s="5"/>
    </row>
    <row r="321" spans="2:14" ht="15.75" customHeight="1">
      <c r="B321" s="58">
        <f>'Tabulation Sheet'!B321</f>
        <v>0</v>
      </c>
      <c r="C321" s="66">
        <f>'Tabulation Sheet'!C321</f>
        <v>0</v>
      </c>
      <c r="D321" s="4">
        <f>'Tabulation Sheet'!D321</f>
        <v>0</v>
      </c>
      <c r="E321" s="4">
        <f>'Tabulation Sheet'!E321</f>
        <v>0</v>
      </c>
      <c r="F321" s="4">
        <f>'Tabulation Sheet'!F321</f>
        <v>0</v>
      </c>
      <c r="G321" s="69"/>
      <c r="H321" s="69"/>
      <c r="I321" s="69"/>
      <c r="J321" s="69"/>
      <c r="K321" s="5"/>
      <c r="L321" s="5"/>
      <c r="M321" s="5"/>
      <c r="N321" s="5"/>
    </row>
    <row r="322" spans="2:14" ht="15.75" customHeight="1">
      <c r="B322" s="58">
        <f>'Tabulation Sheet'!B322</f>
        <v>0</v>
      </c>
      <c r="C322" s="66">
        <f>'Tabulation Sheet'!C322</f>
        <v>0</v>
      </c>
      <c r="D322" s="4">
        <f>'Tabulation Sheet'!D322</f>
        <v>0</v>
      </c>
      <c r="E322" s="4">
        <f>'Tabulation Sheet'!E322</f>
        <v>0</v>
      </c>
      <c r="F322" s="4">
        <f>'Tabulation Sheet'!F322</f>
        <v>0</v>
      </c>
      <c r="G322" s="69"/>
      <c r="H322" s="69"/>
      <c r="I322" s="69"/>
      <c r="J322" s="69"/>
      <c r="K322" s="5"/>
      <c r="L322" s="5"/>
      <c r="M322" s="5"/>
      <c r="N322" s="5"/>
    </row>
    <row r="323" spans="2:14" ht="15.75" customHeight="1">
      <c r="B323" s="58">
        <f>'Tabulation Sheet'!B323</f>
        <v>0</v>
      </c>
      <c r="C323" s="66">
        <f>'Tabulation Sheet'!C323</f>
        <v>0</v>
      </c>
      <c r="D323" s="4">
        <f>'Tabulation Sheet'!D323</f>
        <v>0</v>
      </c>
      <c r="E323" s="4">
        <f>'Tabulation Sheet'!E323</f>
        <v>0</v>
      </c>
      <c r="F323" s="4">
        <f>'Tabulation Sheet'!F323</f>
        <v>0</v>
      </c>
      <c r="G323" s="69"/>
      <c r="H323" s="69"/>
      <c r="I323" s="69"/>
      <c r="J323" s="69"/>
      <c r="K323" s="5"/>
      <c r="L323" s="5"/>
      <c r="M323" s="5"/>
      <c r="N323" s="5"/>
    </row>
    <row r="324" spans="2:14" ht="15.75" customHeight="1">
      <c r="B324" s="58">
        <f>'Tabulation Sheet'!B324</f>
        <v>0</v>
      </c>
      <c r="C324" s="66">
        <f>'Tabulation Sheet'!C324</f>
        <v>0</v>
      </c>
      <c r="D324" s="4">
        <f>'Tabulation Sheet'!D324</f>
        <v>0</v>
      </c>
      <c r="E324" s="4">
        <f>'Tabulation Sheet'!E324</f>
        <v>0</v>
      </c>
      <c r="F324" s="4">
        <f>'Tabulation Sheet'!F324</f>
        <v>0</v>
      </c>
      <c r="G324" s="69"/>
      <c r="H324" s="69"/>
      <c r="I324" s="69"/>
      <c r="J324" s="69"/>
      <c r="K324" s="5"/>
      <c r="L324" s="5"/>
      <c r="M324" s="5"/>
      <c r="N324" s="5"/>
    </row>
    <row r="325" spans="2:14" ht="15.75" customHeight="1">
      <c r="B325" s="58">
        <f>'Tabulation Sheet'!B325</f>
        <v>0</v>
      </c>
      <c r="C325" s="66">
        <f>'Tabulation Sheet'!C325</f>
        <v>0</v>
      </c>
      <c r="D325" s="4">
        <f>'Tabulation Sheet'!D325</f>
        <v>0</v>
      </c>
      <c r="E325" s="4">
        <f>'Tabulation Sheet'!E325</f>
        <v>0</v>
      </c>
      <c r="F325" s="4">
        <f>'Tabulation Sheet'!F325</f>
        <v>0</v>
      </c>
      <c r="G325" s="69"/>
      <c r="H325" s="69"/>
      <c r="I325" s="69"/>
      <c r="J325" s="69"/>
      <c r="K325" s="5"/>
      <c r="L325" s="5"/>
      <c r="M325" s="5"/>
      <c r="N325" s="5"/>
    </row>
    <row r="326" spans="2:14" ht="15.75" customHeight="1">
      <c r="B326" s="58">
        <f>'Tabulation Sheet'!B326</f>
        <v>0</v>
      </c>
      <c r="C326" s="66">
        <f>'Tabulation Sheet'!C326</f>
        <v>0</v>
      </c>
      <c r="D326" s="4">
        <f>'Tabulation Sheet'!D326</f>
        <v>0</v>
      </c>
      <c r="E326" s="4">
        <f>'Tabulation Sheet'!E326</f>
        <v>0</v>
      </c>
      <c r="F326" s="4">
        <f>'Tabulation Sheet'!F326</f>
        <v>0</v>
      </c>
      <c r="G326" s="69"/>
      <c r="H326" s="69"/>
      <c r="I326" s="69"/>
      <c r="J326" s="69"/>
      <c r="K326" s="5"/>
      <c r="L326" s="5"/>
      <c r="M326" s="5"/>
      <c r="N326" s="5"/>
    </row>
    <row r="327" spans="2:14" ht="15.75" customHeight="1">
      <c r="B327" s="58">
        <f>'Tabulation Sheet'!B327</f>
        <v>0</v>
      </c>
      <c r="C327" s="66">
        <f>'Tabulation Sheet'!C327</f>
        <v>0</v>
      </c>
      <c r="D327" s="4">
        <f>'Tabulation Sheet'!D327</f>
        <v>0</v>
      </c>
      <c r="E327" s="4">
        <f>'Tabulation Sheet'!E327</f>
        <v>0</v>
      </c>
      <c r="F327" s="4">
        <f>'Tabulation Sheet'!F327</f>
        <v>0</v>
      </c>
      <c r="G327" s="69"/>
      <c r="H327" s="69"/>
      <c r="I327" s="69"/>
      <c r="J327" s="69"/>
      <c r="K327" s="5"/>
      <c r="L327" s="5"/>
      <c r="M327" s="5"/>
      <c r="N327" s="5"/>
    </row>
    <row r="328" spans="2:14" ht="15.75" customHeight="1">
      <c r="B328" s="58">
        <f>'Tabulation Sheet'!B328</f>
        <v>0</v>
      </c>
      <c r="C328" s="66">
        <f>'Tabulation Sheet'!C328</f>
        <v>0</v>
      </c>
      <c r="D328" s="4">
        <f>'Tabulation Sheet'!D328</f>
        <v>0</v>
      </c>
      <c r="E328" s="4">
        <f>'Tabulation Sheet'!E328</f>
        <v>0</v>
      </c>
      <c r="F328" s="4">
        <f>'Tabulation Sheet'!F328</f>
        <v>0</v>
      </c>
      <c r="G328" s="69"/>
      <c r="H328" s="69"/>
      <c r="I328" s="69"/>
      <c r="J328" s="69"/>
      <c r="K328" s="5"/>
      <c r="L328" s="5"/>
      <c r="M328" s="5"/>
      <c r="N328" s="5"/>
    </row>
    <row r="329" spans="2:14" ht="15.75" customHeight="1">
      <c r="B329" s="58">
        <f>'Tabulation Sheet'!B329</f>
        <v>0</v>
      </c>
      <c r="C329" s="66">
        <f>'Tabulation Sheet'!C329</f>
        <v>0</v>
      </c>
      <c r="D329" s="4">
        <f>'Tabulation Sheet'!D329</f>
        <v>0</v>
      </c>
      <c r="E329" s="4">
        <f>'Tabulation Sheet'!E329</f>
        <v>0</v>
      </c>
      <c r="F329" s="4">
        <f>'Tabulation Sheet'!F329</f>
        <v>0</v>
      </c>
      <c r="G329" s="69"/>
      <c r="H329" s="69"/>
      <c r="I329" s="69"/>
      <c r="J329" s="69"/>
      <c r="K329" s="5"/>
      <c r="L329" s="5"/>
      <c r="M329" s="5"/>
      <c r="N329" s="5"/>
    </row>
    <row r="330" spans="2:14" ht="15.75" customHeight="1">
      <c r="B330" s="58">
        <f>'Tabulation Sheet'!B330</f>
        <v>0</v>
      </c>
      <c r="C330" s="66">
        <f>'Tabulation Sheet'!C330</f>
        <v>0</v>
      </c>
      <c r="D330" s="4">
        <f>'Tabulation Sheet'!D330</f>
        <v>0</v>
      </c>
      <c r="E330" s="4">
        <f>'Tabulation Sheet'!E330</f>
        <v>0</v>
      </c>
      <c r="F330" s="4">
        <f>'Tabulation Sheet'!F330</f>
        <v>0</v>
      </c>
      <c r="G330" s="69"/>
      <c r="H330" s="69"/>
      <c r="I330" s="69"/>
      <c r="J330" s="69"/>
      <c r="K330" s="5"/>
      <c r="L330" s="5"/>
      <c r="M330" s="5"/>
      <c r="N330" s="5"/>
    </row>
    <row r="331" spans="2:14" ht="15.75" customHeight="1">
      <c r="B331" s="58">
        <f>'Tabulation Sheet'!B331</f>
        <v>0</v>
      </c>
      <c r="C331" s="66">
        <f>'Tabulation Sheet'!C331</f>
        <v>0</v>
      </c>
      <c r="D331" s="4">
        <f>'Tabulation Sheet'!D331</f>
        <v>0</v>
      </c>
      <c r="E331" s="4">
        <f>'Tabulation Sheet'!E331</f>
        <v>0</v>
      </c>
      <c r="F331" s="4">
        <f>'Tabulation Sheet'!F331</f>
        <v>0</v>
      </c>
      <c r="G331" s="69"/>
      <c r="H331" s="69"/>
      <c r="I331" s="69"/>
      <c r="J331" s="69"/>
      <c r="K331" s="5"/>
      <c r="L331" s="5"/>
      <c r="M331" s="5"/>
      <c r="N331" s="5"/>
    </row>
    <row r="332" spans="2:14" ht="15.75" customHeight="1">
      <c r="B332" s="58">
        <f>'Tabulation Sheet'!B332</f>
        <v>0</v>
      </c>
      <c r="C332" s="66">
        <f>'Tabulation Sheet'!C332</f>
        <v>0</v>
      </c>
      <c r="D332" s="4">
        <f>'Tabulation Sheet'!D332</f>
        <v>0</v>
      </c>
      <c r="E332" s="4">
        <f>'Tabulation Sheet'!E332</f>
        <v>0</v>
      </c>
      <c r="F332" s="4">
        <f>'Tabulation Sheet'!F332</f>
        <v>0</v>
      </c>
      <c r="G332" s="69"/>
      <c r="H332" s="69"/>
      <c r="I332" s="69"/>
      <c r="J332" s="69"/>
      <c r="K332" s="5"/>
      <c r="L332" s="5"/>
      <c r="M332" s="5"/>
      <c r="N332" s="5"/>
    </row>
    <row r="333" spans="2:14" ht="15.75" customHeight="1">
      <c r="B333" s="58">
        <f>'Tabulation Sheet'!B333</f>
        <v>0</v>
      </c>
      <c r="C333" s="66">
        <f>'Tabulation Sheet'!C333</f>
        <v>0</v>
      </c>
      <c r="D333" s="4">
        <f>'Tabulation Sheet'!D333</f>
        <v>0</v>
      </c>
      <c r="E333" s="4">
        <f>'Tabulation Sheet'!E333</f>
        <v>0</v>
      </c>
      <c r="F333" s="4">
        <f>'Tabulation Sheet'!F333</f>
        <v>0</v>
      </c>
      <c r="G333" s="69"/>
      <c r="H333" s="69"/>
      <c r="I333" s="69"/>
      <c r="J333" s="69"/>
      <c r="K333" s="5"/>
      <c r="L333" s="5"/>
      <c r="M333" s="5"/>
      <c r="N333" s="5"/>
    </row>
    <row r="334" spans="2:14" ht="15.75" customHeight="1">
      <c r="B334" s="58">
        <f>'Tabulation Sheet'!B334</f>
        <v>0</v>
      </c>
      <c r="C334" s="66">
        <f>'Tabulation Sheet'!C334</f>
        <v>0</v>
      </c>
      <c r="D334" s="4">
        <f>'Tabulation Sheet'!D334</f>
        <v>0</v>
      </c>
      <c r="E334" s="4">
        <f>'Tabulation Sheet'!E334</f>
        <v>0</v>
      </c>
      <c r="F334" s="4">
        <f>'Tabulation Sheet'!F334</f>
        <v>0</v>
      </c>
      <c r="G334" s="69"/>
      <c r="H334" s="69"/>
      <c r="I334" s="69"/>
      <c r="J334" s="69"/>
      <c r="K334" s="5"/>
      <c r="L334" s="5"/>
      <c r="M334" s="5"/>
      <c r="N334" s="5"/>
    </row>
    <row r="335" spans="2:14" ht="15.75" customHeight="1">
      <c r="B335" s="58">
        <f>'Tabulation Sheet'!B335</f>
        <v>0</v>
      </c>
      <c r="C335" s="66">
        <f>'Tabulation Sheet'!C335</f>
        <v>0</v>
      </c>
      <c r="D335" s="4">
        <f>'Tabulation Sheet'!D335</f>
        <v>0</v>
      </c>
      <c r="E335" s="4">
        <f>'Tabulation Sheet'!E335</f>
        <v>0</v>
      </c>
      <c r="F335" s="4">
        <f>'Tabulation Sheet'!F335</f>
        <v>0</v>
      </c>
      <c r="G335" s="69"/>
      <c r="H335" s="69"/>
      <c r="I335" s="69"/>
      <c r="J335" s="69"/>
      <c r="K335" s="5"/>
      <c r="L335" s="5"/>
      <c r="M335" s="5"/>
      <c r="N335" s="5"/>
    </row>
    <row r="336" spans="2:14" ht="15.75" customHeight="1">
      <c r="B336" s="58">
        <f>'Tabulation Sheet'!B336</f>
        <v>0</v>
      </c>
      <c r="C336" s="66">
        <f>'Tabulation Sheet'!C336</f>
        <v>0</v>
      </c>
      <c r="D336" s="4">
        <f>'Tabulation Sheet'!D336</f>
        <v>0</v>
      </c>
      <c r="E336" s="4">
        <f>'Tabulation Sheet'!E336</f>
        <v>0</v>
      </c>
      <c r="F336" s="4">
        <f>'Tabulation Sheet'!F336</f>
        <v>0</v>
      </c>
      <c r="G336" s="69"/>
      <c r="H336" s="69"/>
      <c r="I336" s="69"/>
      <c r="J336" s="69"/>
      <c r="K336" s="5"/>
      <c r="L336" s="5"/>
      <c r="M336" s="5"/>
      <c r="N336" s="5"/>
    </row>
    <row r="337" spans="2:14" ht="15.75" customHeight="1">
      <c r="B337" s="58">
        <f>'Tabulation Sheet'!B337</f>
        <v>0</v>
      </c>
      <c r="C337" s="66">
        <f>'Tabulation Sheet'!C337</f>
        <v>0</v>
      </c>
      <c r="D337" s="4">
        <f>'Tabulation Sheet'!D337</f>
        <v>0</v>
      </c>
      <c r="E337" s="4">
        <f>'Tabulation Sheet'!E337</f>
        <v>0</v>
      </c>
      <c r="F337" s="4">
        <f>'Tabulation Sheet'!F337</f>
        <v>0</v>
      </c>
      <c r="G337" s="69"/>
      <c r="H337" s="69"/>
      <c r="I337" s="69"/>
      <c r="J337" s="69"/>
      <c r="K337" s="5"/>
      <c r="L337" s="5"/>
      <c r="M337" s="5"/>
      <c r="N337" s="5"/>
    </row>
    <row r="338" spans="2:14" ht="15.75" customHeight="1">
      <c r="B338" s="58">
        <f>'Tabulation Sheet'!B338</f>
        <v>0</v>
      </c>
      <c r="C338" s="66">
        <f>'Tabulation Sheet'!C338</f>
        <v>0</v>
      </c>
      <c r="D338" s="4">
        <f>'Tabulation Sheet'!D338</f>
        <v>0</v>
      </c>
      <c r="E338" s="4">
        <f>'Tabulation Sheet'!E338</f>
        <v>0</v>
      </c>
      <c r="F338" s="4">
        <f>'Tabulation Sheet'!F338</f>
        <v>0</v>
      </c>
      <c r="G338" s="69"/>
      <c r="H338" s="69"/>
      <c r="I338" s="69"/>
      <c r="J338" s="69"/>
      <c r="K338" s="5"/>
      <c r="L338" s="5"/>
      <c r="M338" s="5"/>
      <c r="N338" s="5"/>
    </row>
    <row r="339" spans="2:14" ht="15.75" customHeight="1">
      <c r="B339" s="58">
        <f>'Tabulation Sheet'!B339</f>
        <v>0</v>
      </c>
      <c r="C339" s="66">
        <f>'Tabulation Sheet'!C339</f>
        <v>0</v>
      </c>
      <c r="D339" s="4">
        <f>'Tabulation Sheet'!D339</f>
        <v>0</v>
      </c>
      <c r="E339" s="4">
        <f>'Tabulation Sheet'!E339</f>
        <v>0</v>
      </c>
      <c r="F339" s="4">
        <f>'Tabulation Sheet'!F339</f>
        <v>0</v>
      </c>
      <c r="G339" s="69"/>
      <c r="H339" s="69"/>
      <c r="I339" s="69"/>
      <c r="J339" s="69"/>
      <c r="K339" s="5"/>
      <c r="L339" s="5"/>
      <c r="M339" s="5"/>
      <c r="N339" s="5"/>
    </row>
    <row r="340" spans="2:14" ht="15.75" customHeight="1">
      <c r="B340" s="58">
        <f>'Tabulation Sheet'!B340</f>
        <v>0</v>
      </c>
      <c r="C340" s="66">
        <f>'Tabulation Sheet'!C340</f>
        <v>0</v>
      </c>
      <c r="D340" s="4">
        <f>'Tabulation Sheet'!D340</f>
        <v>0</v>
      </c>
      <c r="E340" s="4">
        <f>'Tabulation Sheet'!E340</f>
        <v>0</v>
      </c>
      <c r="F340" s="4">
        <f>'Tabulation Sheet'!F340</f>
        <v>0</v>
      </c>
      <c r="G340" s="69"/>
      <c r="H340" s="69"/>
      <c r="I340" s="69"/>
      <c r="J340" s="69"/>
      <c r="K340" s="5"/>
      <c r="L340" s="5"/>
      <c r="M340" s="5"/>
      <c r="N340" s="5"/>
    </row>
    <row r="341" spans="2:14" ht="15.75" customHeight="1">
      <c r="B341" s="58">
        <f>'Tabulation Sheet'!B341</f>
        <v>0</v>
      </c>
      <c r="C341" s="66">
        <f>'Tabulation Sheet'!C341</f>
        <v>0</v>
      </c>
      <c r="D341" s="4">
        <f>'Tabulation Sheet'!D341</f>
        <v>0</v>
      </c>
      <c r="E341" s="4">
        <f>'Tabulation Sheet'!E341</f>
        <v>0</v>
      </c>
      <c r="F341" s="4">
        <f>'Tabulation Sheet'!F341</f>
        <v>0</v>
      </c>
      <c r="G341" s="69"/>
      <c r="H341" s="69"/>
      <c r="I341" s="69"/>
      <c r="J341" s="69"/>
      <c r="K341" s="5"/>
      <c r="L341" s="5"/>
      <c r="M341" s="5"/>
      <c r="N341" s="5"/>
    </row>
    <row r="342" spans="2:14" ht="15.75" customHeight="1">
      <c r="B342" s="58">
        <f>'Tabulation Sheet'!B342</f>
        <v>0</v>
      </c>
      <c r="C342" s="66">
        <f>'Tabulation Sheet'!C342</f>
        <v>0</v>
      </c>
      <c r="D342" s="4">
        <f>'Tabulation Sheet'!D342</f>
        <v>0</v>
      </c>
      <c r="E342" s="4">
        <f>'Tabulation Sheet'!E342</f>
        <v>0</v>
      </c>
      <c r="F342" s="4">
        <f>'Tabulation Sheet'!F342</f>
        <v>0</v>
      </c>
      <c r="G342" s="69"/>
      <c r="H342" s="69"/>
      <c r="I342" s="69"/>
      <c r="J342" s="69"/>
      <c r="K342" s="5"/>
      <c r="L342" s="5"/>
      <c r="M342" s="5"/>
      <c r="N342" s="5"/>
    </row>
    <row r="343" spans="2:14" ht="15.75" customHeight="1">
      <c r="B343" s="58">
        <f>'Tabulation Sheet'!B343</f>
        <v>0</v>
      </c>
      <c r="C343" s="66">
        <f>'Tabulation Sheet'!C343</f>
        <v>0</v>
      </c>
      <c r="D343" s="4">
        <f>'Tabulation Sheet'!D343</f>
        <v>0</v>
      </c>
      <c r="E343" s="4">
        <f>'Tabulation Sheet'!E343</f>
        <v>0</v>
      </c>
      <c r="F343" s="4">
        <f>'Tabulation Sheet'!F343</f>
        <v>0</v>
      </c>
      <c r="G343" s="69"/>
      <c r="H343" s="69"/>
      <c r="I343" s="69"/>
      <c r="J343" s="69"/>
      <c r="K343" s="5"/>
      <c r="L343" s="5"/>
      <c r="M343" s="5"/>
      <c r="N343" s="5"/>
    </row>
    <row r="344" spans="2:14" ht="15.75" customHeight="1">
      <c r="B344" s="58">
        <f>'Tabulation Sheet'!B344</f>
        <v>0</v>
      </c>
      <c r="C344" s="66">
        <f>'Tabulation Sheet'!C344</f>
        <v>0</v>
      </c>
      <c r="D344" s="4">
        <f>'Tabulation Sheet'!D344</f>
        <v>0</v>
      </c>
      <c r="E344" s="4">
        <f>'Tabulation Sheet'!E344</f>
        <v>0</v>
      </c>
      <c r="F344" s="4">
        <f>'Tabulation Sheet'!F344</f>
        <v>0</v>
      </c>
      <c r="G344" s="69"/>
      <c r="H344" s="69"/>
      <c r="I344" s="69"/>
      <c r="J344" s="69"/>
      <c r="K344" s="5"/>
      <c r="L344" s="5"/>
      <c r="M344" s="5"/>
      <c r="N344" s="5"/>
    </row>
    <row r="345" spans="2:14" ht="15.75" customHeight="1">
      <c r="B345" s="58">
        <f>'Tabulation Sheet'!B345</f>
        <v>0</v>
      </c>
      <c r="C345" s="66">
        <f>'Tabulation Sheet'!C345</f>
        <v>0</v>
      </c>
      <c r="D345" s="4">
        <f>'Tabulation Sheet'!D345</f>
        <v>0</v>
      </c>
      <c r="E345" s="4">
        <f>'Tabulation Sheet'!E345</f>
        <v>0</v>
      </c>
      <c r="F345" s="4">
        <f>'Tabulation Sheet'!F345</f>
        <v>0</v>
      </c>
      <c r="G345" s="69"/>
      <c r="H345" s="69"/>
      <c r="I345" s="69"/>
      <c r="J345" s="69"/>
      <c r="K345" s="5"/>
      <c r="L345" s="5"/>
      <c r="M345" s="5"/>
      <c r="N345" s="5"/>
    </row>
    <row r="346" spans="2:14" ht="15.75" customHeight="1">
      <c r="B346" s="58">
        <f>'Tabulation Sheet'!B346</f>
        <v>0</v>
      </c>
      <c r="C346" s="66">
        <f>'Tabulation Sheet'!C346</f>
        <v>0</v>
      </c>
      <c r="D346" s="4">
        <f>'Tabulation Sheet'!D346</f>
        <v>0</v>
      </c>
      <c r="E346" s="4">
        <f>'Tabulation Sheet'!E346</f>
        <v>0</v>
      </c>
      <c r="F346" s="4">
        <f>'Tabulation Sheet'!F346</f>
        <v>0</v>
      </c>
      <c r="G346" s="69"/>
      <c r="H346" s="69"/>
      <c r="I346" s="69"/>
      <c r="J346" s="69"/>
      <c r="K346" s="5"/>
      <c r="L346" s="5"/>
      <c r="M346" s="5"/>
      <c r="N346" s="5"/>
    </row>
    <row r="347" spans="2:14" ht="15.75" customHeight="1">
      <c r="B347" s="58">
        <f>'Tabulation Sheet'!B347</f>
        <v>0</v>
      </c>
      <c r="C347" s="66">
        <f>'Tabulation Sheet'!C347</f>
        <v>0</v>
      </c>
      <c r="D347" s="4">
        <f>'Tabulation Sheet'!D347</f>
        <v>0</v>
      </c>
      <c r="E347" s="4">
        <f>'Tabulation Sheet'!E347</f>
        <v>0</v>
      </c>
      <c r="F347" s="4">
        <f>'Tabulation Sheet'!F347</f>
        <v>0</v>
      </c>
      <c r="G347" s="69"/>
      <c r="H347" s="69"/>
      <c r="I347" s="69"/>
      <c r="J347" s="69"/>
      <c r="K347" s="5"/>
      <c r="L347" s="5"/>
      <c r="M347" s="5"/>
      <c r="N347" s="5"/>
    </row>
    <row r="348" spans="2:14" ht="15.75" customHeight="1">
      <c r="B348" s="58">
        <f>'Tabulation Sheet'!B348</f>
        <v>0</v>
      </c>
      <c r="C348" s="66">
        <f>'Tabulation Sheet'!C348</f>
        <v>0</v>
      </c>
      <c r="D348" s="4">
        <f>'Tabulation Sheet'!D348</f>
        <v>0</v>
      </c>
      <c r="E348" s="4">
        <f>'Tabulation Sheet'!E348</f>
        <v>0</v>
      </c>
      <c r="F348" s="4">
        <f>'Tabulation Sheet'!F348</f>
        <v>0</v>
      </c>
      <c r="G348" s="69"/>
      <c r="H348" s="69"/>
      <c r="I348" s="69"/>
      <c r="J348" s="69"/>
      <c r="K348" s="5"/>
      <c r="L348" s="5"/>
      <c r="M348" s="5"/>
      <c r="N348" s="5"/>
    </row>
    <row r="349" spans="2:14" ht="15.75" customHeight="1">
      <c r="B349" s="58">
        <f>'Tabulation Sheet'!B349</f>
        <v>0</v>
      </c>
      <c r="C349" s="66">
        <f>'Tabulation Sheet'!C349</f>
        <v>0</v>
      </c>
      <c r="D349" s="4">
        <f>'Tabulation Sheet'!D349</f>
        <v>0</v>
      </c>
      <c r="E349" s="4">
        <f>'Tabulation Sheet'!E349</f>
        <v>0</v>
      </c>
      <c r="F349" s="4">
        <f>'Tabulation Sheet'!F349</f>
        <v>0</v>
      </c>
      <c r="G349" s="69"/>
      <c r="H349" s="69"/>
      <c r="I349" s="69"/>
      <c r="J349" s="69"/>
      <c r="K349" s="5"/>
      <c r="L349" s="5"/>
      <c r="M349" s="5"/>
      <c r="N349" s="5"/>
    </row>
    <row r="350" spans="2:14" ht="15.75" customHeight="1">
      <c r="B350" s="58">
        <f>'Tabulation Sheet'!B350</f>
        <v>0</v>
      </c>
      <c r="C350" s="66">
        <f>'Tabulation Sheet'!C350</f>
        <v>0</v>
      </c>
      <c r="D350" s="4">
        <f>'Tabulation Sheet'!D350</f>
        <v>0</v>
      </c>
      <c r="E350" s="4">
        <f>'Tabulation Sheet'!E350</f>
        <v>0</v>
      </c>
      <c r="F350" s="4">
        <f>'Tabulation Sheet'!F350</f>
        <v>0</v>
      </c>
      <c r="G350" s="69"/>
      <c r="H350" s="69"/>
      <c r="I350" s="69"/>
      <c r="J350" s="69"/>
      <c r="K350" s="5"/>
      <c r="L350" s="5"/>
      <c r="M350" s="5"/>
      <c r="N350" s="5"/>
    </row>
    <row r="351" spans="2:14" ht="15.75" customHeight="1">
      <c r="B351" s="58">
        <f>'Tabulation Sheet'!B351</f>
        <v>0</v>
      </c>
      <c r="C351" s="66">
        <f>'Tabulation Sheet'!C351</f>
        <v>0</v>
      </c>
      <c r="D351" s="4">
        <f>'Tabulation Sheet'!D351</f>
        <v>0</v>
      </c>
      <c r="E351" s="4">
        <f>'Tabulation Sheet'!E351</f>
        <v>0</v>
      </c>
      <c r="F351" s="4">
        <f>'Tabulation Sheet'!F351</f>
        <v>0</v>
      </c>
      <c r="G351" s="69"/>
      <c r="H351" s="69"/>
      <c r="I351" s="69"/>
      <c r="J351" s="69"/>
      <c r="K351" s="5"/>
      <c r="L351" s="5"/>
      <c r="M351" s="5"/>
      <c r="N351" s="5"/>
    </row>
    <row r="352" spans="2:14" ht="15.75" customHeight="1">
      <c r="B352" s="58">
        <f>'Tabulation Sheet'!B352</f>
        <v>0</v>
      </c>
      <c r="C352" s="66">
        <f>'Tabulation Sheet'!C352</f>
        <v>0</v>
      </c>
      <c r="D352" s="4">
        <f>'Tabulation Sheet'!D352</f>
        <v>0</v>
      </c>
      <c r="E352" s="4">
        <f>'Tabulation Sheet'!E352</f>
        <v>0</v>
      </c>
      <c r="F352" s="4">
        <f>'Tabulation Sheet'!F352</f>
        <v>0</v>
      </c>
      <c r="G352" s="69"/>
      <c r="H352" s="69"/>
      <c r="I352" s="69"/>
      <c r="J352" s="69"/>
      <c r="K352" s="5"/>
      <c r="L352" s="5"/>
      <c r="M352" s="5"/>
      <c r="N352" s="5"/>
    </row>
    <row r="353" spans="2:14" ht="15.75" customHeight="1">
      <c r="B353" s="58">
        <f>'Tabulation Sheet'!B353</f>
        <v>0</v>
      </c>
      <c r="C353" s="66">
        <f>'Tabulation Sheet'!C353</f>
        <v>0</v>
      </c>
      <c r="D353" s="4">
        <f>'Tabulation Sheet'!D353</f>
        <v>0</v>
      </c>
      <c r="E353" s="4">
        <f>'Tabulation Sheet'!E353</f>
        <v>0</v>
      </c>
      <c r="F353" s="4">
        <f>'Tabulation Sheet'!F353</f>
        <v>0</v>
      </c>
      <c r="G353" s="69"/>
      <c r="H353" s="69"/>
      <c r="I353" s="69"/>
      <c r="J353" s="69"/>
      <c r="K353" s="5"/>
      <c r="L353" s="5"/>
      <c r="M353" s="5"/>
      <c r="N353" s="5"/>
    </row>
    <row r="354" spans="2:14" ht="15.75" customHeight="1">
      <c r="B354" s="58">
        <f>'Tabulation Sheet'!B354</f>
        <v>0</v>
      </c>
      <c r="C354" s="66">
        <f>'Tabulation Sheet'!C354</f>
        <v>0</v>
      </c>
      <c r="D354" s="4">
        <f>'Tabulation Sheet'!D354</f>
        <v>0</v>
      </c>
      <c r="E354" s="4">
        <f>'Tabulation Sheet'!E354</f>
        <v>0</v>
      </c>
      <c r="F354" s="4">
        <f>'Tabulation Sheet'!F354</f>
        <v>0</v>
      </c>
      <c r="G354" s="69"/>
      <c r="H354" s="69"/>
      <c r="I354" s="69"/>
      <c r="J354" s="69"/>
      <c r="K354" s="5"/>
      <c r="L354" s="5"/>
      <c r="M354" s="5"/>
      <c r="N354" s="5"/>
    </row>
    <row r="355" spans="2:14" ht="15.75" customHeight="1">
      <c r="B355" s="58">
        <f>'Tabulation Sheet'!B355</f>
        <v>0</v>
      </c>
      <c r="C355" s="66">
        <f>'Tabulation Sheet'!C355</f>
        <v>0</v>
      </c>
      <c r="D355" s="4">
        <f>'Tabulation Sheet'!D355</f>
        <v>0</v>
      </c>
      <c r="E355" s="4">
        <f>'Tabulation Sheet'!E355</f>
        <v>0</v>
      </c>
      <c r="F355" s="4">
        <f>'Tabulation Sheet'!F355</f>
        <v>0</v>
      </c>
      <c r="G355" s="69"/>
      <c r="H355" s="69"/>
      <c r="I355" s="69"/>
      <c r="J355" s="69"/>
      <c r="K355" s="5"/>
      <c r="L355" s="5"/>
      <c r="M355" s="5"/>
      <c r="N355" s="5"/>
    </row>
    <row r="356" spans="2:14" ht="15.75" customHeight="1">
      <c r="B356" s="58">
        <f>'Tabulation Sheet'!B356</f>
        <v>0</v>
      </c>
      <c r="C356" s="66">
        <f>'Tabulation Sheet'!C356</f>
        <v>0</v>
      </c>
      <c r="D356" s="4">
        <f>'Tabulation Sheet'!D356</f>
        <v>0</v>
      </c>
      <c r="E356" s="4">
        <f>'Tabulation Sheet'!E356</f>
        <v>0</v>
      </c>
      <c r="F356" s="4">
        <f>'Tabulation Sheet'!F356</f>
        <v>0</v>
      </c>
      <c r="G356" s="69"/>
      <c r="H356" s="69"/>
      <c r="I356" s="69"/>
      <c r="J356" s="69"/>
      <c r="K356" s="5"/>
      <c r="L356" s="5"/>
      <c r="M356" s="5"/>
      <c r="N356" s="5"/>
    </row>
    <row r="357" spans="2:14" ht="15.75" customHeight="1">
      <c r="B357" s="58">
        <f>'Tabulation Sheet'!B357</f>
        <v>0</v>
      </c>
      <c r="C357" s="66">
        <f>'Tabulation Sheet'!C357</f>
        <v>0</v>
      </c>
      <c r="D357" s="4">
        <f>'Tabulation Sheet'!D357</f>
        <v>0</v>
      </c>
      <c r="E357" s="4">
        <f>'Tabulation Sheet'!E357</f>
        <v>0</v>
      </c>
      <c r="F357" s="4">
        <f>'Tabulation Sheet'!F357</f>
        <v>0</v>
      </c>
      <c r="G357" s="69"/>
      <c r="H357" s="69"/>
      <c r="I357" s="69"/>
      <c r="J357" s="69"/>
      <c r="K357" s="5"/>
      <c r="L357" s="5"/>
      <c r="M357" s="5"/>
      <c r="N357" s="5"/>
    </row>
    <row r="358" spans="2:14" ht="15.75" customHeight="1">
      <c r="B358" s="58">
        <f>'Tabulation Sheet'!B358</f>
        <v>0</v>
      </c>
      <c r="C358" s="66">
        <f>'Tabulation Sheet'!C358</f>
        <v>0</v>
      </c>
      <c r="D358" s="4">
        <f>'Tabulation Sheet'!D358</f>
        <v>0</v>
      </c>
      <c r="E358" s="4">
        <f>'Tabulation Sheet'!E358</f>
        <v>0</v>
      </c>
      <c r="F358" s="4">
        <f>'Tabulation Sheet'!F358</f>
        <v>0</v>
      </c>
      <c r="G358" s="69"/>
      <c r="H358" s="69"/>
      <c r="I358" s="69"/>
      <c r="J358" s="69"/>
      <c r="K358" s="5"/>
      <c r="L358" s="5"/>
      <c r="M358" s="5"/>
      <c r="N358" s="5"/>
    </row>
    <row r="359" spans="2:14" ht="15.75" customHeight="1">
      <c r="B359" s="58">
        <f>'Tabulation Sheet'!B359</f>
        <v>0</v>
      </c>
      <c r="C359" s="66">
        <f>'Tabulation Sheet'!C359</f>
        <v>0</v>
      </c>
      <c r="D359" s="4">
        <f>'Tabulation Sheet'!D359</f>
        <v>0</v>
      </c>
      <c r="E359" s="4">
        <f>'Tabulation Sheet'!E359</f>
        <v>0</v>
      </c>
      <c r="F359" s="4">
        <f>'Tabulation Sheet'!F359</f>
        <v>0</v>
      </c>
      <c r="G359" s="69"/>
      <c r="H359" s="69"/>
      <c r="I359" s="69"/>
      <c r="J359" s="69"/>
      <c r="K359" s="5"/>
      <c r="L359" s="5"/>
      <c r="M359" s="5"/>
      <c r="N359" s="5"/>
    </row>
    <row r="360" spans="2:14" ht="15.75" customHeight="1">
      <c r="B360" s="58">
        <f>'Tabulation Sheet'!B360</f>
        <v>0</v>
      </c>
      <c r="C360" s="66">
        <f>'Tabulation Sheet'!C360</f>
        <v>0</v>
      </c>
      <c r="D360" s="4">
        <f>'Tabulation Sheet'!D360</f>
        <v>0</v>
      </c>
      <c r="E360" s="4">
        <f>'Tabulation Sheet'!E360</f>
        <v>0</v>
      </c>
      <c r="F360" s="4">
        <f>'Tabulation Sheet'!F360</f>
        <v>0</v>
      </c>
      <c r="G360" s="69"/>
      <c r="H360" s="69"/>
      <c r="I360" s="69"/>
      <c r="J360" s="69"/>
      <c r="K360" s="5"/>
      <c r="L360" s="5"/>
      <c r="M360" s="5"/>
      <c r="N360" s="5"/>
    </row>
    <row r="361" spans="2:14" ht="15.75" customHeight="1">
      <c r="B361" s="58">
        <f>'Tabulation Sheet'!B361</f>
        <v>0</v>
      </c>
      <c r="C361" s="66">
        <f>'Tabulation Sheet'!C361</f>
        <v>0</v>
      </c>
      <c r="D361" s="4">
        <f>'Tabulation Sheet'!D361</f>
        <v>0</v>
      </c>
      <c r="E361" s="4">
        <f>'Tabulation Sheet'!E361</f>
        <v>0</v>
      </c>
      <c r="F361" s="4">
        <f>'Tabulation Sheet'!F361</f>
        <v>0</v>
      </c>
      <c r="G361" s="69"/>
      <c r="H361" s="69"/>
      <c r="I361" s="69"/>
      <c r="J361" s="69"/>
      <c r="K361" s="5"/>
      <c r="L361" s="5"/>
      <c r="M361" s="5"/>
      <c r="N361" s="5"/>
    </row>
    <row r="362" spans="2:14" ht="15.75" customHeight="1">
      <c r="B362" s="58">
        <f>'Tabulation Sheet'!B362</f>
        <v>0</v>
      </c>
      <c r="C362" s="66">
        <f>'Tabulation Sheet'!C362</f>
        <v>0</v>
      </c>
      <c r="D362" s="4">
        <f>'Tabulation Sheet'!D362</f>
        <v>0</v>
      </c>
      <c r="E362" s="4">
        <f>'Tabulation Sheet'!E362</f>
        <v>0</v>
      </c>
      <c r="F362" s="4">
        <f>'Tabulation Sheet'!F362</f>
        <v>0</v>
      </c>
      <c r="G362" s="69"/>
      <c r="H362" s="69"/>
      <c r="I362" s="69"/>
      <c r="J362" s="69"/>
      <c r="K362" s="5"/>
      <c r="L362" s="5"/>
      <c r="M362" s="5"/>
      <c r="N362" s="5"/>
    </row>
    <row r="363" spans="2:14" ht="15.75" customHeight="1">
      <c r="B363" s="58">
        <f>'Tabulation Sheet'!B363</f>
        <v>0</v>
      </c>
      <c r="C363" s="66">
        <f>'Tabulation Sheet'!C363</f>
        <v>0</v>
      </c>
      <c r="D363" s="4">
        <f>'Tabulation Sheet'!D363</f>
        <v>0</v>
      </c>
      <c r="E363" s="4">
        <f>'Tabulation Sheet'!E363</f>
        <v>0</v>
      </c>
      <c r="F363" s="4">
        <f>'Tabulation Sheet'!F363</f>
        <v>0</v>
      </c>
      <c r="G363" s="69"/>
      <c r="H363" s="69"/>
      <c r="I363" s="69"/>
      <c r="J363" s="69"/>
      <c r="K363" s="5"/>
      <c r="L363" s="5"/>
      <c r="M363" s="5"/>
      <c r="N363" s="5"/>
    </row>
    <row r="364" spans="2:14" ht="15.75" customHeight="1">
      <c r="B364" s="58">
        <f>'Tabulation Sheet'!B364</f>
        <v>0</v>
      </c>
      <c r="C364" s="66">
        <f>'Tabulation Sheet'!C364</f>
        <v>0</v>
      </c>
      <c r="D364" s="4">
        <f>'Tabulation Sheet'!D364</f>
        <v>0</v>
      </c>
      <c r="E364" s="4">
        <f>'Tabulation Sheet'!E364</f>
        <v>0</v>
      </c>
      <c r="F364" s="4">
        <f>'Tabulation Sheet'!F364</f>
        <v>0</v>
      </c>
      <c r="G364" s="69"/>
      <c r="H364" s="69"/>
      <c r="I364" s="69"/>
      <c r="J364" s="69"/>
      <c r="K364" s="5"/>
      <c r="L364" s="5"/>
      <c r="M364" s="5"/>
      <c r="N364" s="5"/>
    </row>
    <row r="365" spans="2:14" ht="15.75" customHeight="1">
      <c r="B365" s="58">
        <f>'Tabulation Sheet'!B365</f>
        <v>0</v>
      </c>
      <c r="C365" s="66">
        <f>'Tabulation Sheet'!C365</f>
        <v>0</v>
      </c>
      <c r="D365" s="4">
        <f>'Tabulation Sheet'!D365</f>
        <v>0</v>
      </c>
      <c r="E365" s="4">
        <f>'Tabulation Sheet'!E365</f>
        <v>0</v>
      </c>
      <c r="F365" s="4">
        <f>'Tabulation Sheet'!F365</f>
        <v>0</v>
      </c>
      <c r="G365" s="69"/>
      <c r="H365" s="69"/>
      <c r="I365" s="69"/>
      <c r="J365" s="69"/>
      <c r="K365" s="5"/>
      <c r="L365" s="5"/>
      <c r="M365" s="5"/>
      <c r="N365" s="5"/>
    </row>
    <row r="366" spans="2:14" ht="15.75" customHeight="1">
      <c r="B366" s="58">
        <f>'Tabulation Sheet'!B366</f>
        <v>0</v>
      </c>
      <c r="C366" s="66">
        <f>'Tabulation Sheet'!C366</f>
        <v>0</v>
      </c>
      <c r="D366" s="4">
        <f>'Tabulation Sheet'!D366</f>
        <v>0</v>
      </c>
      <c r="E366" s="4">
        <f>'Tabulation Sheet'!E366</f>
        <v>0</v>
      </c>
      <c r="F366" s="4">
        <f>'Tabulation Sheet'!F366</f>
        <v>0</v>
      </c>
      <c r="G366" s="69"/>
      <c r="H366" s="69"/>
      <c r="I366" s="69"/>
      <c r="J366" s="69"/>
      <c r="K366" s="5"/>
      <c r="L366" s="5"/>
      <c r="M366" s="5"/>
      <c r="N366" s="5"/>
    </row>
    <row r="367" spans="2:14" ht="15.75" customHeight="1">
      <c r="B367" s="58">
        <f>'Tabulation Sheet'!B367</f>
        <v>0</v>
      </c>
      <c r="C367" s="66">
        <f>'Tabulation Sheet'!C367</f>
        <v>0</v>
      </c>
      <c r="D367" s="4">
        <f>'Tabulation Sheet'!D367</f>
        <v>0</v>
      </c>
      <c r="E367" s="4">
        <f>'Tabulation Sheet'!E367</f>
        <v>0</v>
      </c>
      <c r="F367" s="4">
        <f>'Tabulation Sheet'!F367</f>
        <v>0</v>
      </c>
      <c r="G367" s="69"/>
      <c r="H367" s="69"/>
      <c r="I367" s="69"/>
      <c r="J367" s="69"/>
      <c r="K367" s="5"/>
      <c r="L367" s="5"/>
      <c r="M367" s="5"/>
      <c r="N367" s="5"/>
    </row>
    <row r="368" spans="2:14" ht="15.75" customHeight="1">
      <c r="B368" s="58">
        <f>'Tabulation Sheet'!B368</f>
        <v>0</v>
      </c>
      <c r="C368" s="66">
        <f>'Tabulation Sheet'!C368</f>
        <v>0</v>
      </c>
      <c r="D368" s="4">
        <f>'Tabulation Sheet'!D368</f>
        <v>0</v>
      </c>
      <c r="E368" s="4">
        <f>'Tabulation Sheet'!E368</f>
        <v>0</v>
      </c>
      <c r="F368" s="4">
        <f>'Tabulation Sheet'!F368</f>
        <v>0</v>
      </c>
      <c r="G368" s="69"/>
      <c r="H368" s="69"/>
      <c r="I368" s="69"/>
      <c r="J368" s="69"/>
      <c r="K368" s="5"/>
      <c r="L368" s="5"/>
      <c r="M368" s="5"/>
      <c r="N368" s="5"/>
    </row>
    <row r="369" spans="2:14" ht="15.75" customHeight="1">
      <c r="B369" s="58">
        <f>'Tabulation Sheet'!B369</f>
        <v>0</v>
      </c>
      <c r="C369" s="66">
        <f>'Tabulation Sheet'!C369</f>
        <v>0</v>
      </c>
      <c r="D369" s="4">
        <f>'Tabulation Sheet'!D369</f>
        <v>0</v>
      </c>
      <c r="E369" s="4">
        <f>'Tabulation Sheet'!E369</f>
        <v>0</v>
      </c>
      <c r="F369" s="4">
        <f>'Tabulation Sheet'!F369</f>
        <v>0</v>
      </c>
      <c r="G369" s="69"/>
      <c r="H369" s="69"/>
      <c r="I369" s="69"/>
      <c r="J369" s="69"/>
      <c r="K369" s="5"/>
      <c r="L369" s="5"/>
      <c r="M369" s="5"/>
      <c r="N369" s="5"/>
    </row>
    <row r="370" spans="2:14" ht="15.75" customHeight="1">
      <c r="B370" s="58">
        <f>'Tabulation Sheet'!B370</f>
        <v>0</v>
      </c>
      <c r="C370" s="66">
        <f>'Tabulation Sheet'!C370</f>
        <v>0</v>
      </c>
      <c r="D370" s="4">
        <f>'Tabulation Sheet'!D370</f>
        <v>0</v>
      </c>
      <c r="E370" s="4">
        <f>'Tabulation Sheet'!E370</f>
        <v>0</v>
      </c>
      <c r="F370" s="4">
        <f>'Tabulation Sheet'!F370</f>
        <v>0</v>
      </c>
      <c r="G370" s="69"/>
      <c r="H370" s="69"/>
      <c r="I370" s="69"/>
      <c r="J370" s="69"/>
      <c r="K370" s="5"/>
      <c r="L370" s="5"/>
      <c r="M370" s="5"/>
      <c r="N370" s="5"/>
    </row>
    <row r="371" spans="2:14" ht="15.75" customHeight="1">
      <c r="B371" s="58">
        <f>'Tabulation Sheet'!B371</f>
        <v>0</v>
      </c>
      <c r="C371" s="66">
        <f>'Tabulation Sheet'!C371</f>
        <v>0</v>
      </c>
      <c r="D371" s="4">
        <f>'Tabulation Sheet'!D371</f>
        <v>0</v>
      </c>
      <c r="E371" s="4">
        <f>'Tabulation Sheet'!E371</f>
        <v>0</v>
      </c>
      <c r="F371" s="4">
        <f>'Tabulation Sheet'!F371</f>
        <v>0</v>
      </c>
      <c r="G371" s="69"/>
      <c r="H371" s="69"/>
      <c r="I371" s="69"/>
      <c r="J371" s="69"/>
      <c r="K371" s="5"/>
      <c r="L371" s="5"/>
      <c r="M371" s="5"/>
      <c r="N371" s="5"/>
    </row>
    <row r="372" spans="2:14" ht="15.75" customHeight="1">
      <c r="B372" s="58">
        <f>'Tabulation Sheet'!B372</f>
        <v>0</v>
      </c>
      <c r="C372" s="66">
        <f>'Tabulation Sheet'!C372</f>
        <v>0</v>
      </c>
      <c r="D372" s="4">
        <f>'Tabulation Sheet'!D372</f>
        <v>0</v>
      </c>
      <c r="E372" s="4">
        <f>'Tabulation Sheet'!E372</f>
        <v>0</v>
      </c>
      <c r="F372" s="4">
        <f>'Tabulation Sheet'!F372</f>
        <v>0</v>
      </c>
      <c r="G372" s="69"/>
      <c r="H372" s="69"/>
      <c r="I372" s="69"/>
      <c r="J372" s="69"/>
      <c r="K372" s="5"/>
      <c r="L372" s="5"/>
      <c r="M372" s="5"/>
      <c r="N372" s="5"/>
    </row>
    <row r="373" spans="2:14" ht="15.75" customHeight="1">
      <c r="B373" s="58">
        <f>'Tabulation Sheet'!B373</f>
        <v>0</v>
      </c>
      <c r="C373" s="66">
        <f>'Tabulation Sheet'!C373</f>
        <v>0</v>
      </c>
      <c r="D373" s="4">
        <f>'Tabulation Sheet'!D373</f>
        <v>0</v>
      </c>
      <c r="E373" s="4">
        <f>'Tabulation Sheet'!E373</f>
        <v>0</v>
      </c>
      <c r="F373" s="4">
        <f>'Tabulation Sheet'!F373</f>
        <v>0</v>
      </c>
      <c r="G373" s="69"/>
      <c r="H373" s="69"/>
      <c r="I373" s="69"/>
      <c r="J373" s="69"/>
      <c r="K373" s="5"/>
      <c r="L373" s="5"/>
      <c r="M373" s="5"/>
      <c r="N373" s="5"/>
    </row>
    <row r="374" spans="2:14" ht="15.75" customHeight="1">
      <c r="B374" s="58">
        <f>'Tabulation Sheet'!B374</f>
        <v>0</v>
      </c>
      <c r="C374" s="66">
        <f>'Tabulation Sheet'!C374</f>
        <v>0</v>
      </c>
      <c r="D374" s="4">
        <f>'Tabulation Sheet'!D374</f>
        <v>0</v>
      </c>
      <c r="E374" s="4">
        <f>'Tabulation Sheet'!E374</f>
        <v>0</v>
      </c>
      <c r="F374" s="4">
        <f>'Tabulation Sheet'!F374</f>
        <v>0</v>
      </c>
      <c r="G374" s="69"/>
      <c r="H374" s="69"/>
      <c r="I374" s="69"/>
      <c r="J374" s="69"/>
      <c r="K374" s="5"/>
      <c r="L374" s="5"/>
      <c r="M374" s="5"/>
      <c r="N374" s="5"/>
    </row>
    <row r="375" spans="2:14" ht="15.75" customHeight="1">
      <c r="B375" s="58">
        <f>'Tabulation Sheet'!B375</f>
        <v>0</v>
      </c>
      <c r="C375" s="66">
        <f>'Tabulation Sheet'!C375</f>
        <v>0</v>
      </c>
      <c r="D375" s="4">
        <f>'Tabulation Sheet'!D375</f>
        <v>0</v>
      </c>
      <c r="E375" s="4">
        <f>'Tabulation Sheet'!E375</f>
        <v>0</v>
      </c>
      <c r="F375" s="4">
        <f>'Tabulation Sheet'!F375</f>
        <v>0</v>
      </c>
      <c r="G375" s="69"/>
      <c r="H375" s="69"/>
      <c r="I375" s="69"/>
      <c r="J375" s="69"/>
      <c r="K375" s="5"/>
      <c r="L375" s="5"/>
      <c r="M375" s="5"/>
      <c r="N375" s="5"/>
    </row>
    <row r="376" spans="2:14" ht="15.75" customHeight="1">
      <c r="B376" s="58">
        <f>'Tabulation Sheet'!B376</f>
        <v>0</v>
      </c>
      <c r="C376" s="66">
        <f>'Tabulation Sheet'!C376</f>
        <v>0</v>
      </c>
      <c r="D376" s="4">
        <f>'Tabulation Sheet'!D376</f>
        <v>0</v>
      </c>
      <c r="E376" s="4">
        <f>'Tabulation Sheet'!E376</f>
        <v>0</v>
      </c>
      <c r="F376" s="4">
        <f>'Tabulation Sheet'!F376</f>
        <v>0</v>
      </c>
      <c r="G376" s="69"/>
      <c r="H376" s="69"/>
      <c r="I376" s="69"/>
      <c r="J376" s="69"/>
      <c r="K376" s="5"/>
      <c r="L376" s="5"/>
      <c r="M376" s="5"/>
      <c r="N376" s="5"/>
    </row>
    <row r="377" spans="2:14" ht="15.75" customHeight="1">
      <c r="B377" s="58">
        <f>'Tabulation Sheet'!B377</f>
        <v>0</v>
      </c>
      <c r="C377" s="66">
        <f>'Tabulation Sheet'!C377</f>
        <v>0</v>
      </c>
      <c r="D377" s="4">
        <f>'Tabulation Sheet'!D377</f>
        <v>0</v>
      </c>
      <c r="E377" s="4">
        <f>'Tabulation Sheet'!E377</f>
        <v>0</v>
      </c>
      <c r="F377" s="4">
        <f>'Tabulation Sheet'!F377</f>
        <v>0</v>
      </c>
      <c r="G377" s="69"/>
      <c r="H377" s="69"/>
      <c r="I377" s="69"/>
      <c r="J377" s="69"/>
      <c r="K377" s="5"/>
      <c r="L377" s="5"/>
      <c r="M377" s="5"/>
      <c r="N377" s="5"/>
    </row>
    <row r="378" spans="2:14" ht="15.75" customHeight="1">
      <c r="B378" s="58">
        <f>'Tabulation Sheet'!B378</f>
        <v>0</v>
      </c>
      <c r="C378" s="66">
        <f>'Tabulation Sheet'!C378</f>
        <v>0</v>
      </c>
      <c r="D378" s="4">
        <f>'Tabulation Sheet'!D378</f>
        <v>0</v>
      </c>
      <c r="E378" s="4">
        <f>'Tabulation Sheet'!E378</f>
        <v>0</v>
      </c>
      <c r="F378" s="4">
        <f>'Tabulation Sheet'!F378</f>
        <v>0</v>
      </c>
      <c r="G378" s="69"/>
      <c r="H378" s="69"/>
      <c r="I378" s="69"/>
      <c r="J378" s="69"/>
      <c r="K378" s="5"/>
      <c r="L378" s="5"/>
      <c r="M378" s="5"/>
      <c r="N378" s="5"/>
    </row>
    <row r="379" spans="2:14" ht="15.75" customHeight="1">
      <c r="B379" s="58">
        <f>'Tabulation Sheet'!B379</f>
        <v>0</v>
      </c>
      <c r="C379" s="66">
        <f>'Tabulation Sheet'!C379</f>
        <v>0</v>
      </c>
      <c r="D379" s="4">
        <f>'Tabulation Sheet'!D379</f>
        <v>0</v>
      </c>
      <c r="E379" s="4">
        <f>'Tabulation Sheet'!E379</f>
        <v>0</v>
      </c>
      <c r="F379" s="4">
        <f>'Tabulation Sheet'!F379</f>
        <v>0</v>
      </c>
      <c r="G379" s="69"/>
      <c r="H379" s="69"/>
      <c r="I379" s="69"/>
      <c r="J379" s="69"/>
      <c r="K379" s="5"/>
      <c r="L379" s="5"/>
      <c r="M379" s="5"/>
      <c r="N379" s="5"/>
    </row>
    <row r="380" spans="2:14" ht="15.75" customHeight="1">
      <c r="B380" s="58">
        <f>'Tabulation Sheet'!B380</f>
        <v>0</v>
      </c>
      <c r="C380" s="66">
        <f>'Tabulation Sheet'!C380</f>
        <v>0</v>
      </c>
      <c r="D380" s="4">
        <f>'Tabulation Sheet'!D380</f>
        <v>0</v>
      </c>
      <c r="E380" s="4">
        <f>'Tabulation Sheet'!E380</f>
        <v>0</v>
      </c>
      <c r="F380" s="4">
        <f>'Tabulation Sheet'!F380</f>
        <v>0</v>
      </c>
      <c r="G380" s="69"/>
      <c r="H380" s="69"/>
      <c r="I380" s="69"/>
      <c r="J380" s="69"/>
      <c r="K380" s="5"/>
      <c r="L380" s="5"/>
      <c r="M380" s="5"/>
      <c r="N380" s="5"/>
    </row>
    <row r="381" spans="2:14" ht="15.75" customHeight="1">
      <c r="B381" s="58">
        <f>'Tabulation Sheet'!B381</f>
        <v>0</v>
      </c>
      <c r="C381" s="66">
        <f>'Tabulation Sheet'!C381</f>
        <v>0</v>
      </c>
      <c r="D381" s="4">
        <f>'Tabulation Sheet'!D381</f>
        <v>0</v>
      </c>
      <c r="E381" s="4">
        <f>'Tabulation Sheet'!E381</f>
        <v>0</v>
      </c>
      <c r="F381" s="4">
        <f>'Tabulation Sheet'!F381</f>
        <v>0</v>
      </c>
      <c r="G381" s="69"/>
      <c r="H381" s="69"/>
      <c r="I381" s="69"/>
      <c r="J381" s="69"/>
      <c r="K381" s="5"/>
      <c r="L381" s="5"/>
      <c r="M381" s="5"/>
      <c r="N381" s="5"/>
    </row>
    <row r="382" spans="2:14" ht="15.75" customHeight="1">
      <c r="B382" s="58">
        <f>'Tabulation Sheet'!B382</f>
        <v>0</v>
      </c>
      <c r="C382" s="66">
        <f>'Tabulation Sheet'!C382</f>
        <v>0</v>
      </c>
      <c r="D382" s="4">
        <f>'Tabulation Sheet'!D382</f>
        <v>0</v>
      </c>
      <c r="E382" s="4">
        <f>'Tabulation Sheet'!E382</f>
        <v>0</v>
      </c>
      <c r="F382" s="4">
        <f>'Tabulation Sheet'!F382</f>
        <v>0</v>
      </c>
      <c r="G382" s="69"/>
      <c r="H382" s="69"/>
      <c r="I382" s="69"/>
      <c r="J382" s="69"/>
      <c r="K382" s="5"/>
      <c r="L382" s="5"/>
      <c r="M382" s="5"/>
      <c r="N382" s="5"/>
    </row>
    <row r="383" spans="2:14" ht="15.75" customHeight="1">
      <c r="B383" s="58">
        <f>'Tabulation Sheet'!B383</f>
        <v>0</v>
      </c>
      <c r="C383" s="66">
        <f>'Tabulation Sheet'!C383</f>
        <v>0</v>
      </c>
      <c r="D383" s="4">
        <f>'Tabulation Sheet'!D383</f>
        <v>0</v>
      </c>
      <c r="E383" s="4">
        <f>'Tabulation Sheet'!E383</f>
        <v>0</v>
      </c>
      <c r="F383" s="4">
        <f>'Tabulation Sheet'!F383</f>
        <v>0</v>
      </c>
      <c r="G383" s="69"/>
      <c r="H383" s="69"/>
      <c r="I383" s="69"/>
      <c r="J383" s="69"/>
      <c r="K383" s="5"/>
      <c r="L383" s="5"/>
      <c r="M383" s="5"/>
      <c r="N383" s="5"/>
    </row>
    <row r="384" spans="2:14" ht="15.75" customHeight="1">
      <c r="B384" s="58">
        <f>'Tabulation Sheet'!B384</f>
        <v>0</v>
      </c>
      <c r="C384" s="66">
        <f>'Tabulation Sheet'!C384</f>
        <v>0</v>
      </c>
      <c r="D384" s="4">
        <f>'Tabulation Sheet'!D384</f>
        <v>0</v>
      </c>
      <c r="E384" s="4">
        <f>'Tabulation Sheet'!E384</f>
        <v>0</v>
      </c>
      <c r="F384" s="4">
        <f>'Tabulation Sheet'!F384</f>
        <v>0</v>
      </c>
      <c r="G384" s="69"/>
      <c r="H384" s="69"/>
      <c r="I384" s="69"/>
      <c r="J384" s="69"/>
      <c r="K384" s="5"/>
      <c r="L384" s="5"/>
      <c r="M384" s="5"/>
      <c r="N384" s="5"/>
    </row>
    <row r="385" spans="2:14" ht="15.75" customHeight="1">
      <c r="B385" s="58">
        <f>'Tabulation Sheet'!B385</f>
        <v>0</v>
      </c>
      <c r="C385" s="66">
        <f>'Tabulation Sheet'!C385</f>
        <v>0</v>
      </c>
      <c r="D385" s="4">
        <f>'Tabulation Sheet'!D385</f>
        <v>0</v>
      </c>
      <c r="E385" s="4">
        <f>'Tabulation Sheet'!E385</f>
        <v>0</v>
      </c>
      <c r="F385" s="4">
        <f>'Tabulation Sheet'!F385</f>
        <v>0</v>
      </c>
      <c r="G385" s="69"/>
      <c r="H385" s="69"/>
      <c r="I385" s="69"/>
      <c r="J385" s="69"/>
      <c r="K385" s="5"/>
      <c r="L385" s="5"/>
      <c r="M385" s="5"/>
      <c r="N385" s="5"/>
    </row>
    <row r="386" spans="2:14" ht="15.75" customHeight="1">
      <c r="B386" s="58">
        <f>'Tabulation Sheet'!B386</f>
        <v>0</v>
      </c>
      <c r="C386" s="66">
        <f>'Tabulation Sheet'!C386</f>
        <v>0</v>
      </c>
      <c r="D386" s="4">
        <f>'Tabulation Sheet'!D386</f>
        <v>0</v>
      </c>
      <c r="E386" s="4">
        <f>'Tabulation Sheet'!E386</f>
        <v>0</v>
      </c>
      <c r="F386" s="4">
        <f>'Tabulation Sheet'!F386</f>
        <v>0</v>
      </c>
      <c r="G386" s="69"/>
      <c r="H386" s="69"/>
      <c r="I386" s="69"/>
      <c r="J386" s="69"/>
      <c r="K386" s="5"/>
      <c r="L386" s="5"/>
      <c r="M386" s="5"/>
      <c r="N386" s="5"/>
    </row>
    <row r="387" spans="2:14" ht="15.75" customHeight="1">
      <c r="B387" s="58">
        <f>'Tabulation Sheet'!B387</f>
        <v>0</v>
      </c>
      <c r="C387" s="66">
        <f>'Tabulation Sheet'!C387</f>
        <v>0</v>
      </c>
      <c r="D387" s="4">
        <f>'Tabulation Sheet'!D387</f>
        <v>0</v>
      </c>
      <c r="E387" s="4">
        <f>'Tabulation Sheet'!E387</f>
        <v>0</v>
      </c>
      <c r="F387" s="4">
        <f>'Tabulation Sheet'!F387</f>
        <v>0</v>
      </c>
      <c r="G387" s="69"/>
      <c r="H387" s="69"/>
      <c r="I387" s="69"/>
      <c r="J387" s="69"/>
      <c r="K387" s="5"/>
      <c r="L387" s="5"/>
      <c r="M387" s="5"/>
      <c r="N387" s="5"/>
    </row>
    <row r="388" spans="2:14" ht="15.75" customHeight="1">
      <c r="B388" s="58">
        <f>'Tabulation Sheet'!B388</f>
        <v>0</v>
      </c>
      <c r="C388" s="66">
        <f>'Tabulation Sheet'!C388</f>
        <v>0</v>
      </c>
      <c r="D388" s="4">
        <f>'Tabulation Sheet'!D388</f>
        <v>0</v>
      </c>
      <c r="E388" s="4">
        <f>'Tabulation Sheet'!E388</f>
        <v>0</v>
      </c>
      <c r="F388" s="4">
        <f>'Tabulation Sheet'!F388</f>
        <v>0</v>
      </c>
      <c r="G388" s="69"/>
      <c r="H388" s="69"/>
      <c r="I388" s="69"/>
      <c r="J388" s="69"/>
      <c r="K388" s="5"/>
      <c r="L388" s="5"/>
      <c r="M388" s="5"/>
      <c r="N388" s="5"/>
    </row>
    <row r="389" spans="2:14" ht="15.75" customHeight="1">
      <c r="B389" s="58">
        <f>'Tabulation Sheet'!B389</f>
        <v>0</v>
      </c>
      <c r="C389" s="66">
        <f>'Tabulation Sheet'!C389</f>
        <v>0</v>
      </c>
      <c r="D389" s="4">
        <f>'Tabulation Sheet'!D389</f>
        <v>0</v>
      </c>
      <c r="E389" s="4">
        <f>'Tabulation Sheet'!E389</f>
        <v>0</v>
      </c>
      <c r="F389" s="4">
        <f>'Tabulation Sheet'!F389</f>
        <v>0</v>
      </c>
      <c r="G389" s="69"/>
      <c r="H389" s="69"/>
      <c r="I389" s="69"/>
      <c r="J389" s="69"/>
      <c r="K389" s="5"/>
      <c r="L389" s="5"/>
      <c r="M389" s="5"/>
      <c r="N389" s="5"/>
    </row>
    <row r="390" spans="2:14" ht="15.75" customHeight="1">
      <c r="B390" s="58">
        <f>'Tabulation Sheet'!B390</f>
        <v>0</v>
      </c>
      <c r="C390" s="66">
        <f>'Tabulation Sheet'!C390</f>
        <v>0</v>
      </c>
      <c r="D390" s="4">
        <f>'Tabulation Sheet'!D390</f>
        <v>0</v>
      </c>
      <c r="E390" s="4">
        <f>'Tabulation Sheet'!E390</f>
        <v>0</v>
      </c>
      <c r="F390" s="4">
        <f>'Tabulation Sheet'!F390</f>
        <v>0</v>
      </c>
      <c r="G390" s="69"/>
      <c r="H390" s="69"/>
      <c r="I390" s="69"/>
      <c r="J390" s="69"/>
      <c r="K390" s="5"/>
      <c r="L390" s="5"/>
      <c r="M390" s="5"/>
      <c r="N390" s="5"/>
    </row>
    <row r="391" spans="2:14" ht="15.75" customHeight="1">
      <c r="B391" s="58">
        <f>'Tabulation Sheet'!B391</f>
        <v>0</v>
      </c>
      <c r="C391" s="66">
        <f>'Tabulation Sheet'!C391</f>
        <v>0</v>
      </c>
      <c r="D391" s="4">
        <f>'Tabulation Sheet'!D391</f>
        <v>0</v>
      </c>
      <c r="E391" s="4">
        <f>'Tabulation Sheet'!E391</f>
        <v>0</v>
      </c>
      <c r="F391" s="4">
        <f>'Tabulation Sheet'!F391</f>
        <v>0</v>
      </c>
      <c r="G391" s="69"/>
      <c r="H391" s="69"/>
      <c r="I391" s="69"/>
      <c r="J391" s="69"/>
      <c r="K391" s="5"/>
      <c r="L391" s="5"/>
      <c r="M391" s="5"/>
      <c r="N391" s="5"/>
    </row>
    <row r="392" spans="2:14" ht="15.75" customHeight="1">
      <c r="B392" s="58">
        <f>'Tabulation Sheet'!B392</f>
        <v>0</v>
      </c>
      <c r="C392" s="66">
        <f>'Tabulation Sheet'!C392</f>
        <v>0</v>
      </c>
      <c r="D392" s="4">
        <f>'Tabulation Sheet'!D392</f>
        <v>0</v>
      </c>
      <c r="E392" s="4">
        <f>'Tabulation Sheet'!E392</f>
        <v>0</v>
      </c>
      <c r="F392" s="4">
        <f>'Tabulation Sheet'!F392</f>
        <v>0</v>
      </c>
      <c r="G392" s="69"/>
      <c r="H392" s="69"/>
      <c r="I392" s="69"/>
      <c r="J392" s="69"/>
      <c r="K392" s="5"/>
      <c r="L392" s="5"/>
      <c r="M392" s="5"/>
      <c r="N392" s="5"/>
    </row>
    <row r="393" spans="2:14" ht="15.75" customHeight="1">
      <c r="B393" s="58">
        <f>'Tabulation Sheet'!B393</f>
        <v>0</v>
      </c>
      <c r="C393" s="66">
        <f>'Tabulation Sheet'!C393</f>
        <v>0</v>
      </c>
      <c r="D393" s="4">
        <f>'Tabulation Sheet'!D393</f>
        <v>0</v>
      </c>
      <c r="E393" s="4">
        <f>'Tabulation Sheet'!E393</f>
        <v>0</v>
      </c>
      <c r="F393" s="4">
        <f>'Tabulation Sheet'!F393</f>
        <v>0</v>
      </c>
      <c r="G393" s="69"/>
      <c r="H393" s="69"/>
      <c r="I393" s="69"/>
      <c r="J393" s="69"/>
      <c r="K393" s="5"/>
      <c r="L393" s="5"/>
      <c r="M393" s="5"/>
      <c r="N393" s="5"/>
    </row>
    <row r="394" spans="2:14" ht="15.75" customHeight="1">
      <c r="B394" s="58">
        <f>'Tabulation Sheet'!B394</f>
        <v>0</v>
      </c>
      <c r="C394" s="66">
        <f>'Tabulation Sheet'!C394</f>
        <v>0</v>
      </c>
      <c r="D394" s="4">
        <f>'Tabulation Sheet'!D394</f>
        <v>0</v>
      </c>
      <c r="E394" s="4">
        <f>'Tabulation Sheet'!E394</f>
        <v>0</v>
      </c>
      <c r="F394" s="4">
        <f>'Tabulation Sheet'!F394</f>
        <v>0</v>
      </c>
      <c r="G394" s="69"/>
      <c r="H394" s="69"/>
      <c r="I394" s="69"/>
      <c r="J394" s="69"/>
      <c r="K394" s="5"/>
      <c r="L394" s="5"/>
      <c r="M394" s="5"/>
      <c r="N394" s="5"/>
    </row>
    <row r="395" spans="2:14" ht="15.75" customHeight="1">
      <c r="B395" s="58">
        <f>'Tabulation Sheet'!B395</f>
        <v>0</v>
      </c>
      <c r="C395" s="66">
        <f>'Tabulation Sheet'!C395</f>
        <v>0</v>
      </c>
      <c r="D395" s="4">
        <f>'Tabulation Sheet'!D395</f>
        <v>0</v>
      </c>
      <c r="E395" s="4">
        <f>'Tabulation Sheet'!E395</f>
        <v>0</v>
      </c>
      <c r="F395" s="4">
        <f>'Tabulation Sheet'!F395</f>
        <v>0</v>
      </c>
      <c r="G395" s="69"/>
      <c r="H395" s="69"/>
      <c r="I395" s="69"/>
      <c r="J395" s="69"/>
      <c r="K395" s="5"/>
      <c r="L395" s="5"/>
      <c r="M395" s="5"/>
      <c r="N395" s="5"/>
    </row>
    <row r="396" spans="2:14" ht="15.75" customHeight="1">
      <c r="B396" s="58">
        <f>'Tabulation Sheet'!B396</f>
        <v>0</v>
      </c>
      <c r="C396" s="66">
        <f>'Tabulation Sheet'!C396</f>
        <v>0</v>
      </c>
      <c r="D396" s="4">
        <f>'Tabulation Sheet'!D396</f>
        <v>0</v>
      </c>
      <c r="E396" s="4">
        <f>'Tabulation Sheet'!E396</f>
        <v>0</v>
      </c>
      <c r="F396" s="4">
        <f>'Tabulation Sheet'!F396</f>
        <v>0</v>
      </c>
      <c r="G396" s="69"/>
      <c r="H396" s="69"/>
      <c r="I396" s="69"/>
      <c r="J396" s="69"/>
      <c r="K396" s="5"/>
      <c r="L396" s="5"/>
      <c r="M396" s="5"/>
      <c r="N396" s="5"/>
    </row>
    <row r="397" spans="2:14" ht="15.75" customHeight="1">
      <c r="B397" s="58">
        <f>'Tabulation Sheet'!B397</f>
        <v>0</v>
      </c>
      <c r="C397" s="66">
        <f>'Tabulation Sheet'!C397</f>
        <v>0</v>
      </c>
      <c r="D397" s="4">
        <f>'Tabulation Sheet'!D397</f>
        <v>0</v>
      </c>
      <c r="E397" s="4">
        <f>'Tabulation Sheet'!E397</f>
        <v>0</v>
      </c>
      <c r="F397" s="4">
        <f>'Tabulation Sheet'!F397</f>
        <v>0</v>
      </c>
      <c r="G397" s="69"/>
      <c r="H397" s="69"/>
      <c r="I397" s="69"/>
      <c r="J397" s="69"/>
      <c r="K397" s="5"/>
      <c r="L397" s="5"/>
      <c r="M397" s="5"/>
      <c r="N397" s="5"/>
    </row>
    <row r="398" spans="2:14" ht="15.75" customHeight="1">
      <c r="B398" s="58">
        <f>'Tabulation Sheet'!B398</f>
        <v>0</v>
      </c>
      <c r="C398" s="66">
        <f>'Tabulation Sheet'!C398</f>
        <v>0</v>
      </c>
      <c r="D398" s="4">
        <f>'Tabulation Sheet'!D398</f>
        <v>0</v>
      </c>
      <c r="E398" s="4">
        <f>'Tabulation Sheet'!E398</f>
        <v>0</v>
      </c>
      <c r="F398" s="4">
        <f>'Tabulation Sheet'!F398</f>
        <v>0</v>
      </c>
      <c r="G398" s="69"/>
      <c r="H398" s="69"/>
      <c r="I398" s="69"/>
      <c r="J398" s="69"/>
      <c r="K398" s="5"/>
      <c r="L398" s="5"/>
      <c r="M398" s="5"/>
      <c r="N398" s="5"/>
    </row>
    <row r="399" spans="2:14" ht="15.75" customHeight="1">
      <c r="B399" s="58">
        <f>'Tabulation Sheet'!B399</f>
        <v>0</v>
      </c>
      <c r="C399" s="66">
        <f>'Tabulation Sheet'!C399</f>
        <v>0</v>
      </c>
      <c r="D399" s="4">
        <f>'Tabulation Sheet'!D399</f>
        <v>0</v>
      </c>
      <c r="E399" s="4">
        <f>'Tabulation Sheet'!E399</f>
        <v>0</v>
      </c>
      <c r="F399" s="4">
        <f>'Tabulation Sheet'!F399</f>
        <v>0</v>
      </c>
      <c r="G399" s="69"/>
      <c r="H399" s="69"/>
      <c r="I399" s="69"/>
      <c r="J399" s="69"/>
      <c r="K399" s="5"/>
      <c r="L399" s="5"/>
      <c r="M399" s="5"/>
      <c r="N399" s="5"/>
    </row>
    <row r="400" spans="2:14" ht="15.75" customHeight="1">
      <c r="B400" s="58">
        <f>'Tabulation Sheet'!B400</f>
        <v>0</v>
      </c>
      <c r="C400" s="66">
        <f>'Tabulation Sheet'!C400</f>
        <v>0</v>
      </c>
      <c r="D400" s="4">
        <f>'Tabulation Sheet'!D400</f>
        <v>0</v>
      </c>
      <c r="E400" s="4">
        <f>'Tabulation Sheet'!E400</f>
        <v>0</v>
      </c>
      <c r="F400" s="4">
        <f>'Tabulation Sheet'!F400</f>
        <v>0</v>
      </c>
      <c r="G400" s="69"/>
      <c r="H400" s="69"/>
      <c r="I400" s="69"/>
      <c r="J400" s="69"/>
      <c r="K400" s="5"/>
      <c r="L400" s="5"/>
      <c r="M400" s="5"/>
      <c r="N400" s="5"/>
    </row>
    <row r="401" spans="2:14" ht="15.75" customHeight="1">
      <c r="B401" s="58">
        <f>'Tabulation Sheet'!B401</f>
        <v>0</v>
      </c>
      <c r="C401" s="66">
        <f>'Tabulation Sheet'!C401</f>
        <v>0</v>
      </c>
      <c r="D401" s="4">
        <f>'Tabulation Sheet'!D401</f>
        <v>0</v>
      </c>
      <c r="E401" s="4">
        <f>'Tabulation Sheet'!E401</f>
        <v>0</v>
      </c>
      <c r="F401" s="4">
        <f>'Tabulation Sheet'!F401</f>
        <v>0</v>
      </c>
      <c r="G401" s="69"/>
      <c r="H401" s="69"/>
      <c r="I401" s="69"/>
      <c r="J401" s="69"/>
      <c r="K401" s="5"/>
      <c r="L401" s="5"/>
      <c r="M401" s="5"/>
      <c r="N401" s="5"/>
    </row>
    <row r="402" spans="2:14" ht="15.75" customHeight="1">
      <c r="B402" s="58">
        <f>'Tabulation Sheet'!B402</f>
        <v>0</v>
      </c>
      <c r="C402" s="66">
        <f>'Tabulation Sheet'!C402</f>
        <v>0</v>
      </c>
      <c r="D402" s="4">
        <f>'Tabulation Sheet'!D402</f>
        <v>0</v>
      </c>
      <c r="E402" s="4">
        <f>'Tabulation Sheet'!E402</f>
        <v>0</v>
      </c>
      <c r="F402" s="4">
        <f>'Tabulation Sheet'!F402</f>
        <v>0</v>
      </c>
      <c r="G402" s="69"/>
      <c r="H402" s="69"/>
      <c r="I402" s="69"/>
      <c r="J402" s="69"/>
      <c r="K402" s="5"/>
      <c r="L402" s="5"/>
      <c r="M402" s="5"/>
      <c r="N402" s="5"/>
    </row>
    <row r="403" spans="2:14" ht="15.75" customHeight="1">
      <c r="B403" s="58">
        <f>'Tabulation Sheet'!B403</f>
        <v>0</v>
      </c>
      <c r="C403" s="66">
        <f>'Tabulation Sheet'!C403</f>
        <v>0</v>
      </c>
      <c r="D403" s="4">
        <f>'Tabulation Sheet'!D403</f>
        <v>0</v>
      </c>
      <c r="E403" s="4">
        <f>'Tabulation Sheet'!E403</f>
        <v>0</v>
      </c>
      <c r="F403" s="4">
        <f>'Tabulation Sheet'!F403</f>
        <v>0</v>
      </c>
      <c r="G403" s="69"/>
      <c r="H403" s="69"/>
      <c r="I403" s="69"/>
      <c r="J403" s="69"/>
      <c r="K403" s="5"/>
      <c r="L403" s="5"/>
      <c r="M403" s="5"/>
      <c r="N403" s="5"/>
    </row>
    <row r="404" spans="2:14" ht="15.75" customHeight="1">
      <c r="B404" s="58">
        <f>'Tabulation Sheet'!B404</f>
        <v>0</v>
      </c>
      <c r="C404" s="66">
        <f>'Tabulation Sheet'!C404</f>
        <v>0</v>
      </c>
      <c r="D404" s="4">
        <f>'Tabulation Sheet'!D404</f>
        <v>0</v>
      </c>
      <c r="E404" s="4">
        <f>'Tabulation Sheet'!E404</f>
        <v>0</v>
      </c>
      <c r="F404" s="4">
        <f>'Tabulation Sheet'!F404</f>
        <v>0</v>
      </c>
      <c r="G404" s="69"/>
      <c r="H404" s="69"/>
      <c r="I404" s="69"/>
      <c r="J404" s="69"/>
      <c r="K404" s="5"/>
      <c r="L404" s="5"/>
      <c r="M404" s="5"/>
      <c r="N404" s="5"/>
    </row>
    <row r="405" spans="2:14" ht="15.75" customHeight="1">
      <c r="B405" s="58">
        <f>'Tabulation Sheet'!B405</f>
        <v>0</v>
      </c>
      <c r="C405" s="66">
        <f>'Tabulation Sheet'!C405</f>
        <v>0</v>
      </c>
      <c r="D405" s="4">
        <f>'Tabulation Sheet'!D405</f>
        <v>0</v>
      </c>
      <c r="E405" s="4">
        <f>'Tabulation Sheet'!E405</f>
        <v>0</v>
      </c>
      <c r="F405" s="4">
        <f>'Tabulation Sheet'!F405</f>
        <v>0</v>
      </c>
      <c r="G405" s="69"/>
      <c r="H405" s="69"/>
      <c r="I405" s="69"/>
      <c r="J405" s="69"/>
      <c r="K405" s="5"/>
      <c r="L405" s="5"/>
      <c r="M405" s="5"/>
      <c r="N405" s="5"/>
    </row>
    <row r="406" spans="2:14" ht="15.75" customHeight="1">
      <c r="B406" s="58">
        <f>'Tabulation Sheet'!B406</f>
        <v>0</v>
      </c>
      <c r="C406" s="66">
        <f>'Tabulation Sheet'!C406</f>
        <v>0</v>
      </c>
      <c r="D406" s="4">
        <f>'Tabulation Sheet'!D406</f>
        <v>0</v>
      </c>
      <c r="E406" s="4">
        <f>'Tabulation Sheet'!E406</f>
        <v>0</v>
      </c>
      <c r="F406" s="4">
        <f>'Tabulation Sheet'!F406</f>
        <v>0</v>
      </c>
      <c r="G406" s="69"/>
      <c r="H406" s="69"/>
      <c r="I406" s="69"/>
      <c r="J406" s="69"/>
      <c r="K406" s="5"/>
      <c r="L406" s="5"/>
      <c r="M406" s="5"/>
      <c r="N406" s="5"/>
    </row>
    <row r="407" spans="2:14" ht="15.75" customHeight="1">
      <c r="B407" s="58">
        <f>'Tabulation Sheet'!B407</f>
        <v>0</v>
      </c>
      <c r="C407" s="66">
        <f>'Tabulation Sheet'!C407</f>
        <v>0</v>
      </c>
      <c r="D407" s="4">
        <f>'Tabulation Sheet'!D407</f>
        <v>0</v>
      </c>
      <c r="E407" s="4">
        <f>'Tabulation Sheet'!E407</f>
        <v>0</v>
      </c>
      <c r="F407" s="4">
        <f>'Tabulation Sheet'!F407</f>
        <v>0</v>
      </c>
      <c r="G407" s="69"/>
      <c r="H407" s="69"/>
      <c r="I407" s="69"/>
      <c r="J407" s="69"/>
      <c r="K407" s="5"/>
      <c r="L407" s="5"/>
      <c r="M407" s="5"/>
      <c r="N407" s="5"/>
    </row>
    <row r="408" spans="2:14" ht="15.75" customHeight="1">
      <c r="B408" s="58">
        <f>'Tabulation Sheet'!B408</f>
        <v>0</v>
      </c>
      <c r="C408" s="66">
        <f>'Tabulation Sheet'!C408</f>
        <v>0</v>
      </c>
      <c r="D408" s="4">
        <f>'Tabulation Sheet'!D408</f>
        <v>0</v>
      </c>
      <c r="E408" s="4">
        <f>'Tabulation Sheet'!E408</f>
        <v>0</v>
      </c>
      <c r="F408" s="4">
        <f>'Tabulation Sheet'!F408</f>
        <v>0</v>
      </c>
      <c r="G408" s="69"/>
      <c r="H408" s="69"/>
      <c r="I408" s="69"/>
      <c r="J408" s="69"/>
      <c r="K408" s="5"/>
      <c r="L408" s="5"/>
      <c r="M408" s="5"/>
      <c r="N408" s="5"/>
    </row>
    <row r="409" spans="2:14" ht="15.75" customHeight="1">
      <c r="B409" s="58">
        <f>'Tabulation Sheet'!B409</f>
        <v>0</v>
      </c>
      <c r="C409" s="66">
        <f>'Tabulation Sheet'!C409</f>
        <v>0</v>
      </c>
      <c r="D409" s="4">
        <f>'Tabulation Sheet'!D409</f>
        <v>0</v>
      </c>
      <c r="E409" s="4">
        <f>'Tabulation Sheet'!E409</f>
        <v>0</v>
      </c>
      <c r="F409" s="4">
        <f>'Tabulation Sheet'!F409</f>
        <v>0</v>
      </c>
      <c r="G409" s="69"/>
      <c r="H409" s="69"/>
      <c r="I409" s="69"/>
      <c r="J409" s="69"/>
      <c r="K409" s="5"/>
      <c r="L409" s="5"/>
      <c r="M409" s="5"/>
      <c r="N409" s="5"/>
    </row>
    <row r="410" spans="2:14" ht="15.75" customHeight="1">
      <c r="B410" s="58">
        <f>'Tabulation Sheet'!B410</f>
        <v>0</v>
      </c>
      <c r="C410" s="66">
        <f>'Tabulation Sheet'!C410</f>
        <v>0</v>
      </c>
      <c r="D410" s="4">
        <f>'Tabulation Sheet'!D410</f>
        <v>0</v>
      </c>
      <c r="E410" s="4">
        <f>'Tabulation Sheet'!E410</f>
        <v>0</v>
      </c>
      <c r="F410" s="4">
        <f>'Tabulation Sheet'!F410</f>
        <v>0</v>
      </c>
      <c r="G410" s="69"/>
      <c r="H410" s="69"/>
      <c r="I410" s="69"/>
      <c r="J410" s="69"/>
      <c r="K410" s="5"/>
      <c r="L410" s="5"/>
      <c r="M410" s="5"/>
      <c r="N410" s="5"/>
    </row>
    <row r="411" spans="2:14" ht="15.75" customHeight="1">
      <c r="B411" s="58">
        <f>'Tabulation Sheet'!B411</f>
        <v>0</v>
      </c>
      <c r="C411" s="66">
        <f>'Tabulation Sheet'!C411</f>
        <v>0</v>
      </c>
      <c r="D411" s="4">
        <f>'Tabulation Sheet'!D411</f>
        <v>0</v>
      </c>
      <c r="E411" s="4">
        <f>'Tabulation Sheet'!E411</f>
        <v>0</v>
      </c>
      <c r="F411" s="4">
        <f>'Tabulation Sheet'!F411</f>
        <v>0</v>
      </c>
      <c r="G411" s="69"/>
      <c r="H411" s="69"/>
      <c r="I411" s="69"/>
      <c r="J411" s="69"/>
      <c r="K411" s="5"/>
      <c r="L411" s="5"/>
      <c r="M411" s="5"/>
      <c r="N411" s="5"/>
    </row>
    <row r="412" spans="2:14" ht="15.75" customHeight="1">
      <c r="B412" s="58">
        <f>'Tabulation Sheet'!B412</f>
        <v>0</v>
      </c>
      <c r="C412" s="66">
        <f>'Tabulation Sheet'!C412</f>
        <v>0</v>
      </c>
      <c r="D412" s="4">
        <f>'Tabulation Sheet'!D412</f>
        <v>0</v>
      </c>
      <c r="E412" s="4">
        <f>'Tabulation Sheet'!E412</f>
        <v>0</v>
      </c>
      <c r="F412" s="4">
        <f>'Tabulation Sheet'!F412</f>
        <v>0</v>
      </c>
      <c r="G412" s="69"/>
      <c r="H412" s="69"/>
      <c r="I412" s="69"/>
      <c r="J412" s="69"/>
      <c r="K412" s="5"/>
      <c r="L412" s="5"/>
      <c r="M412" s="5"/>
      <c r="N412" s="5"/>
    </row>
    <row r="413" spans="2:14" ht="15.75" customHeight="1">
      <c r="B413" s="58">
        <f>'Tabulation Sheet'!B413</f>
        <v>0</v>
      </c>
      <c r="C413" s="66">
        <f>'Tabulation Sheet'!C413</f>
        <v>0</v>
      </c>
      <c r="D413" s="4">
        <f>'Tabulation Sheet'!D413</f>
        <v>0</v>
      </c>
      <c r="E413" s="4">
        <f>'Tabulation Sheet'!E413</f>
        <v>0</v>
      </c>
      <c r="F413" s="4">
        <f>'Tabulation Sheet'!F413</f>
        <v>0</v>
      </c>
      <c r="G413" s="69"/>
      <c r="H413" s="69"/>
      <c r="I413" s="69"/>
      <c r="J413" s="69"/>
      <c r="K413" s="5"/>
      <c r="L413" s="5"/>
      <c r="M413" s="5"/>
      <c r="N413" s="5"/>
    </row>
    <row r="414" spans="2:14" ht="15.75" customHeight="1">
      <c r="B414" s="58">
        <f>'Tabulation Sheet'!B414</f>
        <v>0</v>
      </c>
      <c r="C414" s="66">
        <f>'Tabulation Sheet'!C414</f>
        <v>0</v>
      </c>
      <c r="D414" s="4">
        <f>'Tabulation Sheet'!D414</f>
        <v>0</v>
      </c>
      <c r="E414" s="4">
        <f>'Tabulation Sheet'!E414</f>
        <v>0</v>
      </c>
      <c r="F414" s="4">
        <f>'Tabulation Sheet'!F414</f>
        <v>0</v>
      </c>
      <c r="G414" s="69"/>
      <c r="H414" s="69"/>
      <c r="I414" s="69"/>
      <c r="J414" s="69"/>
      <c r="K414" s="5"/>
      <c r="L414" s="5"/>
      <c r="M414" s="5"/>
      <c r="N414" s="5"/>
    </row>
    <row r="415" spans="2:14" ht="15.75" customHeight="1">
      <c r="B415" s="58">
        <f>'Tabulation Sheet'!B415</f>
        <v>0</v>
      </c>
      <c r="C415" s="66">
        <f>'Tabulation Sheet'!C415</f>
        <v>0</v>
      </c>
      <c r="D415" s="4">
        <f>'Tabulation Sheet'!D415</f>
        <v>0</v>
      </c>
      <c r="E415" s="4">
        <f>'Tabulation Sheet'!E415</f>
        <v>0</v>
      </c>
      <c r="F415" s="4">
        <f>'Tabulation Sheet'!F415</f>
        <v>0</v>
      </c>
      <c r="G415" s="69"/>
      <c r="H415" s="69"/>
      <c r="I415" s="69"/>
      <c r="J415" s="69"/>
      <c r="K415" s="5"/>
      <c r="L415" s="5"/>
      <c r="M415" s="5"/>
      <c r="N415" s="5"/>
    </row>
    <row r="416" spans="2:14" ht="15.75" customHeight="1">
      <c r="B416" s="58">
        <f>'Tabulation Sheet'!B416</f>
        <v>0</v>
      </c>
      <c r="C416" s="66">
        <f>'Tabulation Sheet'!C416</f>
        <v>0</v>
      </c>
      <c r="D416" s="4">
        <f>'Tabulation Sheet'!D416</f>
        <v>0</v>
      </c>
      <c r="E416" s="4">
        <f>'Tabulation Sheet'!E416</f>
        <v>0</v>
      </c>
      <c r="F416" s="4">
        <f>'Tabulation Sheet'!F416</f>
        <v>0</v>
      </c>
      <c r="G416" s="69"/>
      <c r="H416" s="69"/>
      <c r="I416" s="69"/>
      <c r="J416" s="69"/>
      <c r="K416" s="5"/>
      <c r="L416" s="5"/>
      <c r="M416" s="5"/>
      <c r="N416" s="5"/>
    </row>
    <row r="417" spans="2:14" ht="15.75" customHeight="1">
      <c r="B417" s="58">
        <f>'Tabulation Sheet'!B417</f>
        <v>0</v>
      </c>
      <c r="C417" s="66">
        <f>'Tabulation Sheet'!C417</f>
        <v>0</v>
      </c>
      <c r="D417" s="4">
        <f>'Tabulation Sheet'!D417</f>
        <v>0</v>
      </c>
      <c r="E417" s="4">
        <f>'Tabulation Sheet'!E417</f>
        <v>0</v>
      </c>
      <c r="F417" s="4">
        <f>'Tabulation Sheet'!F417</f>
        <v>0</v>
      </c>
      <c r="G417" s="69"/>
      <c r="H417" s="69"/>
      <c r="I417" s="69"/>
      <c r="J417" s="69"/>
      <c r="K417" s="5"/>
      <c r="L417" s="5"/>
      <c r="M417" s="5"/>
      <c r="N417" s="5"/>
    </row>
    <row r="418" spans="2:14" ht="15.75" customHeight="1">
      <c r="B418" s="58">
        <f>'Tabulation Sheet'!B418</f>
        <v>0</v>
      </c>
      <c r="C418" s="66">
        <f>'Tabulation Sheet'!C418</f>
        <v>0</v>
      </c>
      <c r="D418" s="4">
        <f>'Tabulation Sheet'!D418</f>
        <v>0</v>
      </c>
      <c r="E418" s="4">
        <f>'Tabulation Sheet'!E418</f>
        <v>0</v>
      </c>
      <c r="F418" s="4">
        <f>'Tabulation Sheet'!F418</f>
        <v>0</v>
      </c>
      <c r="G418" s="69"/>
      <c r="H418" s="69"/>
      <c r="I418" s="69"/>
      <c r="J418" s="69"/>
      <c r="K418" s="5"/>
      <c r="L418" s="5"/>
      <c r="M418" s="5"/>
      <c r="N418" s="5"/>
    </row>
    <row r="419" spans="2:14" ht="15.75" customHeight="1">
      <c r="B419" s="58">
        <f>'Tabulation Sheet'!B419</f>
        <v>0</v>
      </c>
      <c r="C419" s="66">
        <f>'Tabulation Sheet'!C419</f>
        <v>0</v>
      </c>
      <c r="D419" s="4">
        <f>'Tabulation Sheet'!D419</f>
        <v>0</v>
      </c>
      <c r="E419" s="4">
        <f>'Tabulation Sheet'!E419</f>
        <v>0</v>
      </c>
      <c r="F419" s="4">
        <f>'Tabulation Sheet'!F419</f>
        <v>0</v>
      </c>
      <c r="G419" s="69"/>
      <c r="H419" s="69"/>
      <c r="I419" s="69"/>
      <c r="J419" s="69"/>
      <c r="K419" s="5"/>
      <c r="L419" s="5"/>
      <c r="M419" s="5"/>
      <c r="N419" s="5"/>
    </row>
    <row r="420" spans="2:14" ht="15.75" customHeight="1">
      <c r="B420" s="58">
        <f>'Tabulation Sheet'!B420</f>
        <v>0</v>
      </c>
      <c r="C420" s="66">
        <f>'Tabulation Sheet'!C420</f>
        <v>0</v>
      </c>
      <c r="D420" s="4">
        <f>'Tabulation Sheet'!D420</f>
        <v>0</v>
      </c>
      <c r="E420" s="4">
        <f>'Tabulation Sheet'!E420</f>
        <v>0</v>
      </c>
      <c r="F420" s="4">
        <f>'Tabulation Sheet'!F420</f>
        <v>0</v>
      </c>
      <c r="G420" s="69"/>
      <c r="H420" s="69"/>
      <c r="I420" s="69"/>
      <c r="J420" s="69"/>
      <c r="K420" s="5"/>
      <c r="L420" s="5"/>
      <c r="M420" s="5"/>
      <c r="N420" s="5"/>
    </row>
    <row r="421" spans="2:14" ht="15.75" customHeight="1">
      <c r="B421" s="58">
        <f>'Tabulation Sheet'!B421</f>
        <v>0</v>
      </c>
      <c r="C421" s="66">
        <f>'Tabulation Sheet'!C421</f>
        <v>0</v>
      </c>
      <c r="D421" s="4">
        <f>'Tabulation Sheet'!D421</f>
        <v>0</v>
      </c>
      <c r="E421" s="4">
        <f>'Tabulation Sheet'!E421</f>
        <v>0</v>
      </c>
      <c r="F421" s="4">
        <f>'Tabulation Sheet'!F421</f>
        <v>0</v>
      </c>
      <c r="G421" s="69"/>
      <c r="H421" s="69"/>
      <c r="I421" s="69"/>
      <c r="J421" s="69"/>
      <c r="K421" s="5"/>
      <c r="L421" s="5"/>
      <c r="M421" s="5"/>
      <c r="N421" s="5"/>
    </row>
    <row r="422" spans="2:14" ht="15.75" customHeight="1">
      <c r="B422" s="58">
        <f>'Tabulation Sheet'!B422</f>
        <v>0</v>
      </c>
      <c r="C422" s="66">
        <f>'Tabulation Sheet'!C422</f>
        <v>0</v>
      </c>
      <c r="D422" s="4">
        <f>'Tabulation Sheet'!D422</f>
        <v>0</v>
      </c>
      <c r="E422" s="4">
        <f>'Tabulation Sheet'!E422</f>
        <v>0</v>
      </c>
      <c r="F422" s="4">
        <f>'Tabulation Sheet'!F422</f>
        <v>0</v>
      </c>
      <c r="G422" s="69"/>
      <c r="H422" s="69"/>
      <c r="I422" s="69"/>
      <c r="J422" s="69"/>
      <c r="K422" s="5"/>
      <c r="L422" s="5"/>
      <c r="M422" s="5"/>
      <c r="N422" s="5"/>
    </row>
    <row r="423" spans="2:14" ht="15.75" customHeight="1">
      <c r="B423" s="58">
        <f>'Tabulation Sheet'!B423</f>
        <v>0</v>
      </c>
      <c r="C423" s="66">
        <f>'Tabulation Sheet'!C423</f>
        <v>0</v>
      </c>
      <c r="D423" s="4">
        <f>'Tabulation Sheet'!D423</f>
        <v>0</v>
      </c>
      <c r="E423" s="4">
        <f>'Tabulation Sheet'!E423</f>
        <v>0</v>
      </c>
      <c r="F423" s="4">
        <f>'Tabulation Sheet'!F423</f>
        <v>0</v>
      </c>
      <c r="G423" s="69"/>
      <c r="H423" s="69"/>
      <c r="I423" s="69"/>
      <c r="J423" s="69"/>
      <c r="K423" s="5"/>
      <c r="L423" s="5"/>
      <c r="M423" s="5"/>
      <c r="N423" s="5"/>
    </row>
    <row r="424" spans="2:14" ht="15.75" customHeight="1">
      <c r="B424" s="58">
        <f>'Tabulation Sheet'!B424</f>
        <v>0</v>
      </c>
      <c r="C424" s="66">
        <f>'Tabulation Sheet'!C424</f>
        <v>0</v>
      </c>
      <c r="D424" s="4">
        <f>'Tabulation Sheet'!D424</f>
        <v>0</v>
      </c>
      <c r="E424" s="4">
        <f>'Tabulation Sheet'!E424</f>
        <v>0</v>
      </c>
      <c r="F424" s="4">
        <f>'Tabulation Sheet'!F424</f>
        <v>0</v>
      </c>
      <c r="G424" s="69"/>
      <c r="H424" s="69"/>
      <c r="I424" s="69"/>
      <c r="J424" s="69"/>
      <c r="K424" s="5"/>
      <c r="L424" s="5"/>
      <c r="M424" s="5"/>
      <c r="N424" s="5"/>
    </row>
    <row r="425" spans="2:14" ht="15.75" customHeight="1">
      <c r="B425" s="58">
        <f>'Tabulation Sheet'!B425</f>
        <v>0</v>
      </c>
      <c r="C425" s="66">
        <f>'Tabulation Sheet'!C425</f>
        <v>0</v>
      </c>
      <c r="D425" s="4">
        <f>'Tabulation Sheet'!D425</f>
        <v>0</v>
      </c>
      <c r="E425" s="4">
        <f>'Tabulation Sheet'!E425</f>
        <v>0</v>
      </c>
      <c r="F425" s="4">
        <f>'Tabulation Sheet'!F425</f>
        <v>0</v>
      </c>
      <c r="G425" s="69"/>
      <c r="H425" s="69"/>
      <c r="I425" s="69"/>
      <c r="J425" s="69"/>
      <c r="K425" s="5"/>
      <c r="L425" s="5"/>
      <c r="M425" s="5"/>
      <c r="N425" s="5"/>
    </row>
    <row r="426" spans="2:14" ht="15.75" customHeight="1">
      <c r="B426" s="58">
        <f>'Tabulation Sheet'!B426</f>
        <v>0</v>
      </c>
      <c r="C426" s="66">
        <f>'Tabulation Sheet'!C426</f>
        <v>0</v>
      </c>
      <c r="D426" s="4">
        <f>'Tabulation Sheet'!D426</f>
        <v>0</v>
      </c>
      <c r="E426" s="4">
        <f>'Tabulation Sheet'!E426</f>
        <v>0</v>
      </c>
      <c r="F426" s="4">
        <f>'Tabulation Sheet'!F426</f>
        <v>0</v>
      </c>
      <c r="G426" s="69"/>
      <c r="H426" s="69"/>
      <c r="I426" s="69"/>
      <c r="J426" s="69"/>
      <c r="K426" s="5"/>
      <c r="L426" s="5"/>
      <c r="M426" s="5"/>
      <c r="N426" s="5"/>
    </row>
    <row r="427" spans="2:14" ht="15.75" customHeight="1">
      <c r="B427" s="58">
        <f>'Tabulation Sheet'!B427</f>
        <v>0</v>
      </c>
      <c r="C427" s="66">
        <f>'Tabulation Sheet'!C427</f>
        <v>0</v>
      </c>
      <c r="D427" s="4">
        <f>'Tabulation Sheet'!D427</f>
        <v>0</v>
      </c>
      <c r="E427" s="4">
        <f>'Tabulation Sheet'!E427</f>
        <v>0</v>
      </c>
      <c r="F427" s="4">
        <f>'Tabulation Sheet'!F427</f>
        <v>0</v>
      </c>
      <c r="G427" s="69"/>
      <c r="H427" s="69"/>
      <c r="I427" s="69"/>
      <c r="J427" s="69"/>
      <c r="K427" s="5"/>
      <c r="L427" s="5"/>
      <c r="M427" s="5"/>
      <c r="N427" s="5"/>
    </row>
    <row r="428" spans="2:14" ht="15.75" customHeight="1">
      <c r="B428" s="58">
        <f>'Tabulation Sheet'!B428</f>
        <v>0</v>
      </c>
      <c r="C428" s="66">
        <f>'Tabulation Sheet'!C428</f>
        <v>0</v>
      </c>
      <c r="D428" s="4">
        <f>'Tabulation Sheet'!D428</f>
        <v>0</v>
      </c>
      <c r="E428" s="4">
        <f>'Tabulation Sheet'!E428</f>
        <v>0</v>
      </c>
      <c r="F428" s="4">
        <f>'Tabulation Sheet'!F428</f>
        <v>0</v>
      </c>
      <c r="G428" s="69"/>
      <c r="H428" s="69"/>
      <c r="I428" s="69"/>
      <c r="J428" s="69"/>
      <c r="K428" s="5"/>
      <c r="L428" s="5"/>
      <c r="M428" s="5"/>
      <c r="N428" s="5"/>
    </row>
    <row r="429" spans="2:14" ht="15.75" customHeight="1">
      <c r="B429" s="58">
        <f>'Tabulation Sheet'!B429</f>
        <v>0</v>
      </c>
      <c r="C429" s="66">
        <f>'Tabulation Sheet'!C429</f>
        <v>0</v>
      </c>
      <c r="D429" s="4">
        <f>'Tabulation Sheet'!D429</f>
        <v>0</v>
      </c>
      <c r="E429" s="4">
        <f>'Tabulation Sheet'!E429</f>
        <v>0</v>
      </c>
      <c r="F429" s="4">
        <f>'Tabulation Sheet'!F429</f>
        <v>0</v>
      </c>
      <c r="G429" s="69"/>
      <c r="H429" s="69"/>
      <c r="I429" s="69"/>
      <c r="J429" s="69"/>
      <c r="K429" s="5"/>
      <c r="L429" s="5"/>
      <c r="M429" s="5"/>
      <c r="N429" s="5"/>
    </row>
    <row r="430" spans="2:14" ht="15.75" customHeight="1">
      <c r="B430" s="58">
        <f>'Tabulation Sheet'!B430</f>
        <v>0</v>
      </c>
      <c r="C430" s="66">
        <f>'Tabulation Sheet'!C430</f>
        <v>0</v>
      </c>
      <c r="D430" s="4">
        <f>'Tabulation Sheet'!D430</f>
        <v>0</v>
      </c>
      <c r="E430" s="4">
        <f>'Tabulation Sheet'!E430</f>
        <v>0</v>
      </c>
      <c r="F430" s="4">
        <f>'Tabulation Sheet'!F430</f>
        <v>0</v>
      </c>
      <c r="G430" s="69"/>
      <c r="H430" s="69"/>
      <c r="I430" s="69"/>
      <c r="J430" s="69"/>
      <c r="K430" s="5"/>
      <c r="L430" s="5"/>
      <c r="M430" s="5"/>
      <c r="N430" s="5"/>
    </row>
    <row r="431" spans="2:14" ht="15.75" customHeight="1">
      <c r="B431" s="58">
        <f>'Tabulation Sheet'!B431</f>
        <v>0</v>
      </c>
      <c r="C431" s="66">
        <f>'Tabulation Sheet'!C431</f>
        <v>0</v>
      </c>
      <c r="D431" s="4">
        <f>'Tabulation Sheet'!D431</f>
        <v>0</v>
      </c>
      <c r="E431" s="4">
        <f>'Tabulation Sheet'!E431</f>
        <v>0</v>
      </c>
      <c r="F431" s="4">
        <f>'Tabulation Sheet'!F431</f>
        <v>0</v>
      </c>
      <c r="G431" s="69"/>
      <c r="H431" s="69"/>
      <c r="I431" s="69"/>
      <c r="J431" s="69"/>
      <c r="K431" s="5"/>
      <c r="L431" s="5"/>
      <c r="M431" s="5"/>
      <c r="N431" s="5"/>
    </row>
    <row r="432" spans="2:14" ht="15.75" customHeight="1">
      <c r="B432" s="58">
        <f>'Tabulation Sheet'!B432</f>
        <v>0</v>
      </c>
      <c r="C432" s="66">
        <f>'Tabulation Sheet'!C432</f>
        <v>0</v>
      </c>
      <c r="D432" s="4">
        <f>'Tabulation Sheet'!D432</f>
        <v>0</v>
      </c>
      <c r="E432" s="4">
        <f>'Tabulation Sheet'!E432</f>
        <v>0</v>
      </c>
      <c r="F432" s="4">
        <f>'Tabulation Sheet'!F432</f>
        <v>0</v>
      </c>
      <c r="G432" s="69"/>
      <c r="H432" s="69"/>
      <c r="I432" s="69"/>
      <c r="J432" s="69"/>
      <c r="K432" s="5"/>
      <c r="L432" s="5"/>
      <c r="M432" s="5"/>
      <c r="N432" s="5"/>
    </row>
    <row r="433" spans="2:14" ht="15.75" customHeight="1">
      <c r="B433" s="58">
        <f>'Tabulation Sheet'!B433</f>
        <v>0</v>
      </c>
      <c r="C433" s="66">
        <f>'Tabulation Sheet'!C433</f>
        <v>0</v>
      </c>
      <c r="D433" s="4">
        <f>'Tabulation Sheet'!D433</f>
        <v>0</v>
      </c>
      <c r="E433" s="4">
        <f>'Tabulation Sheet'!E433</f>
        <v>0</v>
      </c>
      <c r="F433" s="4">
        <f>'Tabulation Sheet'!F433</f>
        <v>0</v>
      </c>
      <c r="G433" s="69"/>
      <c r="H433" s="69"/>
      <c r="I433" s="69"/>
      <c r="J433" s="69"/>
      <c r="K433" s="5"/>
      <c r="L433" s="5"/>
      <c r="M433" s="5"/>
      <c r="N433" s="5"/>
    </row>
    <row r="434" spans="2:14" ht="15.75" customHeight="1">
      <c r="B434" s="58">
        <f>'Tabulation Sheet'!B434</f>
        <v>0</v>
      </c>
      <c r="C434" s="66">
        <f>'Tabulation Sheet'!C434</f>
        <v>0</v>
      </c>
      <c r="D434" s="4">
        <f>'Tabulation Sheet'!D434</f>
        <v>0</v>
      </c>
      <c r="E434" s="4">
        <f>'Tabulation Sheet'!E434</f>
        <v>0</v>
      </c>
      <c r="F434" s="4">
        <f>'Tabulation Sheet'!F434</f>
        <v>0</v>
      </c>
      <c r="G434" s="69"/>
      <c r="H434" s="69"/>
      <c r="I434" s="69"/>
      <c r="J434" s="69"/>
      <c r="K434" s="5"/>
      <c r="L434" s="5"/>
      <c r="M434" s="5"/>
      <c r="N434" s="5"/>
    </row>
    <row r="435" spans="2:14" ht="15.75" customHeight="1">
      <c r="B435" s="58">
        <f>'Tabulation Sheet'!B435</f>
        <v>0</v>
      </c>
      <c r="C435" s="66">
        <f>'Tabulation Sheet'!C435</f>
        <v>0</v>
      </c>
      <c r="D435" s="4">
        <f>'Tabulation Sheet'!D435</f>
        <v>0</v>
      </c>
      <c r="E435" s="4">
        <f>'Tabulation Sheet'!E435</f>
        <v>0</v>
      </c>
      <c r="F435" s="4">
        <f>'Tabulation Sheet'!F435</f>
        <v>0</v>
      </c>
      <c r="G435" s="69"/>
      <c r="H435" s="69"/>
      <c r="I435" s="69"/>
      <c r="J435" s="69"/>
      <c r="K435" s="5"/>
      <c r="L435" s="5"/>
      <c r="M435" s="5"/>
      <c r="N435" s="5"/>
    </row>
    <row r="436" spans="2:14" ht="15.75" customHeight="1">
      <c r="B436" s="58">
        <f>'Tabulation Sheet'!B436</f>
        <v>0</v>
      </c>
      <c r="C436" s="66">
        <f>'Tabulation Sheet'!C436</f>
        <v>0</v>
      </c>
      <c r="D436" s="4">
        <f>'Tabulation Sheet'!D436</f>
        <v>0</v>
      </c>
      <c r="E436" s="4">
        <f>'Tabulation Sheet'!E436</f>
        <v>0</v>
      </c>
      <c r="F436" s="4">
        <f>'Tabulation Sheet'!F436</f>
        <v>0</v>
      </c>
      <c r="G436" s="69"/>
      <c r="H436" s="69"/>
      <c r="I436" s="69"/>
      <c r="J436" s="69"/>
      <c r="K436" s="5"/>
      <c r="L436" s="5"/>
      <c r="M436" s="5"/>
      <c r="N436" s="5"/>
    </row>
    <row r="437" spans="2:14" ht="15.75" customHeight="1">
      <c r="B437" s="58">
        <f>'Tabulation Sheet'!B437</f>
        <v>0</v>
      </c>
      <c r="C437" s="66">
        <f>'Tabulation Sheet'!C437</f>
        <v>0</v>
      </c>
      <c r="D437" s="4">
        <f>'Tabulation Sheet'!D437</f>
        <v>0</v>
      </c>
      <c r="E437" s="4">
        <f>'Tabulation Sheet'!E437</f>
        <v>0</v>
      </c>
      <c r="F437" s="4">
        <f>'Tabulation Sheet'!F437</f>
        <v>0</v>
      </c>
      <c r="G437" s="69"/>
      <c r="H437" s="69"/>
      <c r="I437" s="69"/>
      <c r="J437" s="69"/>
      <c r="K437" s="5"/>
      <c r="L437" s="5"/>
      <c r="M437" s="5"/>
      <c r="N437" s="5"/>
    </row>
    <row r="438" spans="2:14" ht="15.75" customHeight="1">
      <c r="B438" s="58">
        <f>'Tabulation Sheet'!B438</f>
        <v>0</v>
      </c>
      <c r="C438" s="66">
        <f>'Tabulation Sheet'!C438</f>
        <v>0</v>
      </c>
      <c r="D438" s="4">
        <f>'Tabulation Sheet'!D438</f>
        <v>0</v>
      </c>
      <c r="E438" s="4">
        <f>'Tabulation Sheet'!E438</f>
        <v>0</v>
      </c>
      <c r="F438" s="4">
        <f>'Tabulation Sheet'!F438</f>
        <v>0</v>
      </c>
      <c r="G438" s="69"/>
      <c r="H438" s="69"/>
      <c r="I438" s="69"/>
      <c r="J438" s="69"/>
      <c r="K438" s="5"/>
      <c r="L438" s="5"/>
      <c r="M438" s="5"/>
      <c r="N438" s="5"/>
    </row>
    <row r="439" spans="2:14" ht="15.75" customHeight="1">
      <c r="B439" s="58">
        <f>'Tabulation Sheet'!B439</f>
        <v>0</v>
      </c>
      <c r="C439" s="66">
        <f>'Tabulation Sheet'!C439</f>
        <v>0</v>
      </c>
      <c r="D439" s="4">
        <f>'Tabulation Sheet'!D439</f>
        <v>0</v>
      </c>
      <c r="E439" s="4">
        <f>'Tabulation Sheet'!E439</f>
        <v>0</v>
      </c>
      <c r="F439" s="4">
        <f>'Tabulation Sheet'!F439</f>
        <v>0</v>
      </c>
      <c r="G439" s="69"/>
      <c r="H439" s="69"/>
      <c r="I439" s="69"/>
      <c r="J439" s="69"/>
      <c r="K439" s="5"/>
      <c r="L439" s="5"/>
      <c r="M439" s="5"/>
      <c r="N439" s="5"/>
    </row>
    <row r="440" spans="2:14" ht="15.75" customHeight="1">
      <c r="B440" s="58">
        <f>'Tabulation Sheet'!B440</f>
        <v>0</v>
      </c>
      <c r="C440" s="66">
        <f>'Tabulation Sheet'!C440</f>
        <v>0</v>
      </c>
      <c r="D440" s="4">
        <f>'Tabulation Sheet'!D440</f>
        <v>0</v>
      </c>
      <c r="E440" s="4">
        <f>'Tabulation Sheet'!E440</f>
        <v>0</v>
      </c>
      <c r="F440" s="4">
        <f>'Tabulation Sheet'!F440</f>
        <v>0</v>
      </c>
      <c r="G440" s="69"/>
      <c r="H440" s="69"/>
      <c r="I440" s="69"/>
      <c r="J440" s="69"/>
      <c r="K440" s="5"/>
      <c r="L440" s="5"/>
      <c r="M440" s="5"/>
      <c r="N440" s="5"/>
    </row>
    <row r="441" spans="2:14" ht="15.75" customHeight="1">
      <c r="B441" s="58">
        <f>'Tabulation Sheet'!B441</f>
        <v>0</v>
      </c>
      <c r="C441" s="66">
        <f>'Tabulation Sheet'!C441</f>
        <v>0</v>
      </c>
      <c r="D441" s="4">
        <f>'Tabulation Sheet'!D441</f>
        <v>0</v>
      </c>
      <c r="E441" s="4">
        <f>'Tabulation Sheet'!E441</f>
        <v>0</v>
      </c>
      <c r="F441" s="4">
        <f>'Tabulation Sheet'!F441</f>
        <v>0</v>
      </c>
      <c r="G441" s="69"/>
      <c r="H441" s="69"/>
      <c r="I441" s="69"/>
      <c r="J441" s="69"/>
      <c r="K441" s="5"/>
      <c r="L441" s="5"/>
      <c r="M441" s="5"/>
      <c r="N441" s="5"/>
    </row>
    <row r="442" spans="2:14" ht="15.75" customHeight="1">
      <c r="B442" s="58">
        <f>'Tabulation Sheet'!B442</f>
        <v>0</v>
      </c>
      <c r="C442" s="66">
        <f>'Tabulation Sheet'!C442</f>
        <v>0</v>
      </c>
      <c r="D442" s="4">
        <f>'Tabulation Sheet'!D442</f>
        <v>0</v>
      </c>
      <c r="E442" s="4">
        <f>'Tabulation Sheet'!E442</f>
        <v>0</v>
      </c>
      <c r="F442" s="4">
        <f>'Tabulation Sheet'!F442</f>
        <v>0</v>
      </c>
      <c r="G442" s="69"/>
      <c r="H442" s="69"/>
      <c r="I442" s="69"/>
      <c r="J442" s="69"/>
      <c r="K442" s="5"/>
      <c r="L442" s="5"/>
      <c r="M442" s="5"/>
      <c r="N442" s="5"/>
    </row>
    <row r="443" spans="2:14" ht="15.75" customHeight="1">
      <c r="B443" s="58">
        <f>'Tabulation Sheet'!B443</f>
        <v>0</v>
      </c>
      <c r="C443" s="66">
        <f>'Tabulation Sheet'!C443</f>
        <v>0</v>
      </c>
      <c r="D443" s="4">
        <f>'Tabulation Sheet'!D443</f>
        <v>0</v>
      </c>
      <c r="E443" s="4">
        <f>'Tabulation Sheet'!E443</f>
        <v>0</v>
      </c>
      <c r="F443" s="4">
        <f>'Tabulation Sheet'!F443</f>
        <v>0</v>
      </c>
      <c r="G443" s="69"/>
      <c r="H443" s="69"/>
      <c r="I443" s="69"/>
      <c r="J443" s="69"/>
      <c r="K443" s="5"/>
      <c r="L443" s="5"/>
      <c r="M443" s="5"/>
      <c r="N443" s="5"/>
    </row>
    <row r="444" spans="2:14" ht="15.75" customHeight="1">
      <c r="B444" s="58">
        <f>'Tabulation Sheet'!B444</f>
        <v>0</v>
      </c>
      <c r="C444" s="66">
        <f>'Tabulation Sheet'!C444</f>
        <v>0</v>
      </c>
      <c r="D444" s="4">
        <f>'Tabulation Sheet'!D444</f>
        <v>0</v>
      </c>
      <c r="E444" s="4">
        <f>'Tabulation Sheet'!E444</f>
        <v>0</v>
      </c>
      <c r="F444" s="4">
        <f>'Tabulation Sheet'!F444</f>
        <v>0</v>
      </c>
      <c r="G444" s="69"/>
      <c r="H444" s="69"/>
      <c r="I444" s="69"/>
      <c r="J444" s="69"/>
      <c r="K444" s="5"/>
      <c r="L444" s="5"/>
      <c r="M444" s="5"/>
      <c r="N444" s="5"/>
    </row>
    <row r="445" spans="2:14" ht="15.75" customHeight="1">
      <c r="B445" s="58">
        <f>'Tabulation Sheet'!B445</f>
        <v>0</v>
      </c>
      <c r="C445" s="66">
        <f>'Tabulation Sheet'!C445</f>
        <v>0</v>
      </c>
      <c r="D445" s="4">
        <f>'Tabulation Sheet'!D445</f>
        <v>0</v>
      </c>
      <c r="E445" s="4">
        <f>'Tabulation Sheet'!E445</f>
        <v>0</v>
      </c>
      <c r="F445" s="4">
        <f>'Tabulation Sheet'!F445</f>
        <v>0</v>
      </c>
      <c r="G445" s="69"/>
      <c r="H445" s="69"/>
      <c r="I445" s="69"/>
      <c r="J445" s="69"/>
      <c r="K445" s="5"/>
      <c r="L445" s="5"/>
      <c r="M445" s="5"/>
      <c r="N445" s="5"/>
    </row>
    <row r="446" spans="2:14" ht="15.75" customHeight="1">
      <c r="B446" s="58">
        <f>'Tabulation Sheet'!B446</f>
        <v>0</v>
      </c>
      <c r="C446" s="66">
        <f>'Tabulation Sheet'!C446</f>
        <v>0</v>
      </c>
      <c r="D446" s="4">
        <f>'Tabulation Sheet'!D446</f>
        <v>0</v>
      </c>
      <c r="E446" s="4">
        <f>'Tabulation Sheet'!E446</f>
        <v>0</v>
      </c>
      <c r="F446" s="4">
        <f>'Tabulation Sheet'!F446</f>
        <v>0</v>
      </c>
      <c r="G446" s="69"/>
      <c r="H446" s="69"/>
      <c r="I446" s="69"/>
      <c r="J446" s="69"/>
      <c r="K446" s="5"/>
      <c r="L446" s="5"/>
      <c r="M446" s="5"/>
      <c r="N446" s="5"/>
    </row>
    <row r="447" spans="2:14" ht="15.75" customHeight="1">
      <c r="B447" s="58">
        <f>'Tabulation Sheet'!B447</f>
        <v>0</v>
      </c>
      <c r="C447" s="66">
        <f>'Tabulation Sheet'!C447</f>
        <v>0</v>
      </c>
      <c r="D447" s="4">
        <f>'Tabulation Sheet'!D447</f>
        <v>0</v>
      </c>
      <c r="E447" s="4">
        <f>'Tabulation Sheet'!E447</f>
        <v>0</v>
      </c>
      <c r="F447" s="4">
        <f>'Tabulation Sheet'!F447</f>
        <v>0</v>
      </c>
      <c r="G447" s="69"/>
      <c r="H447" s="69"/>
      <c r="I447" s="69"/>
      <c r="J447" s="69"/>
      <c r="K447" s="5"/>
      <c r="L447" s="5"/>
      <c r="M447" s="5"/>
      <c r="N447" s="5"/>
    </row>
    <row r="448" spans="2:14" ht="15.75" customHeight="1">
      <c r="B448" s="58">
        <f>'Tabulation Sheet'!B448</f>
        <v>0</v>
      </c>
      <c r="C448" s="66">
        <f>'Tabulation Sheet'!C448</f>
        <v>0</v>
      </c>
      <c r="D448" s="4">
        <f>'Tabulation Sheet'!D448</f>
        <v>0</v>
      </c>
      <c r="E448" s="4">
        <f>'Tabulation Sheet'!E448</f>
        <v>0</v>
      </c>
      <c r="F448" s="4">
        <f>'Tabulation Sheet'!F448</f>
        <v>0</v>
      </c>
      <c r="G448" s="69"/>
      <c r="H448" s="69"/>
      <c r="I448" s="69"/>
      <c r="J448" s="69"/>
      <c r="K448" s="5"/>
      <c r="L448" s="5"/>
      <c r="M448" s="5"/>
      <c r="N448" s="5"/>
    </row>
    <row r="449" spans="2:14" ht="15.75" customHeight="1">
      <c r="B449" s="58">
        <f>'Tabulation Sheet'!B449</f>
        <v>0</v>
      </c>
      <c r="C449" s="66">
        <f>'Tabulation Sheet'!C449</f>
        <v>0</v>
      </c>
      <c r="D449" s="4">
        <f>'Tabulation Sheet'!D449</f>
        <v>0</v>
      </c>
      <c r="E449" s="4">
        <f>'Tabulation Sheet'!E449</f>
        <v>0</v>
      </c>
      <c r="F449" s="4">
        <f>'Tabulation Sheet'!F449</f>
        <v>0</v>
      </c>
      <c r="G449" s="69"/>
      <c r="H449" s="69"/>
      <c r="I449" s="69"/>
      <c r="J449" s="69"/>
      <c r="K449" s="5"/>
      <c r="L449" s="5"/>
      <c r="M449" s="5"/>
      <c r="N449" s="5"/>
    </row>
    <row r="450" spans="2:14" ht="15.75" customHeight="1">
      <c r="B450" s="58">
        <f>'Tabulation Sheet'!B450</f>
        <v>0</v>
      </c>
      <c r="C450" s="66">
        <f>'Tabulation Sheet'!C450</f>
        <v>0</v>
      </c>
      <c r="D450" s="4">
        <f>'Tabulation Sheet'!D450</f>
        <v>0</v>
      </c>
      <c r="E450" s="4">
        <f>'Tabulation Sheet'!E450</f>
        <v>0</v>
      </c>
      <c r="F450" s="4">
        <f>'Tabulation Sheet'!F450</f>
        <v>0</v>
      </c>
      <c r="G450" s="69"/>
      <c r="H450" s="69"/>
      <c r="I450" s="69"/>
      <c r="J450" s="69"/>
      <c r="K450" s="5"/>
      <c r="L450" s="5"/>
      <c r="M450" s="5"/>
      <c r="N450" s="5"/>
    </row>
    <row r="451" spans="2:14" ht="15.75" customHeight="1">
      <c r="B451" s="58">
        <f>'Tabulation Sheet'!B451</f>
        <v>0</v>
      </c>
      <c r="C451" s="66">
        <f>'Tabulation Sheet'!C451</f>
        <v>0</v>
      </c>
      <c r="D451" s="4">
        <f>'Tabulation Sheet'!D451</f>
        <v>0</v>
      </c>
      <c r="E451" s="4">
        <f>'Tabulation Sheet'!E451</f>
        <v>0</v>
      </c>
      <c r="F451" s="4">
        <f>'Tabulation Sheet'!F451</f>
        <v>0</v>
      </c>
      <c r="G451" s="69"/>
      <c r="H451" s="69"/>
      <c r="I451" s="69"/>
      <c r="J451" s="69"/>
      <c r="K451" s="5"/>
      <c r="L451" s="5"/>
      <c r="M451" s="5"/>
      <c r="N451" s="5"/>
    </row>
    <row r="452" spans="2:14" ht="15.75" customHeight="1">
      <c r="B452" s="58">
        <f>'Tabulation Sheet'!B452</f>
        <v>0</v>
      </c>
      <c r="C452" s="66">
        <f>'Tabulation Sheet'!C452</f>
        <v>0</v>
      </c>
      <c r="D452" s="4">
        <f>'Tabulation Sheet'!D452</f>
        <v>0</v>
      </c>
      <c r="E452" s="4">
        <f>'Tabulation Sheet'!E452</f>
        <v>0</v>
      </c>
      <c r="F452" s="4">
        <f>'Tabulation Sheet'!F452</f>
        <v>0</v>
      </c>
      <c r="G452" s="69"/>
      <c r="H452" s="69"/>
      <c r="I452" s="69"/>
      <c r="J452" s="69"/>
      <c r="K452" s="5"/>
      <c r="L452" s="5"/>
      <c r="M452" s="5"/>
      <c r="N452" s="5"/>
    </row>
    <row r="453" spans="2:14" ht="15.75" customHeight="1">
      <c r="B453" s="58">
        <f>'Tabulation Sheet'!B453</f>
        <v>0</v>
      </c>
      <c r="C453" s="66">
        <f>'Tabulation Sheet'!C453</f>
        <v>0</v>
      </c>
      <c r="D453" s="4">
        <f>'Tabulation Sheet'!D453</f>
        <v>0</v>
      </c>
      <c r="E453" s="4">
        <f>'Tabulation Sheet'!E453</f>
        <v>0</v>
      </c>
      <c r="F453" s="4">
        <f>'Tabulation Sheet'!F453</f>
        <v>0</v>
      </c>
      <c r="G453" s="69"/>
      <c r="H453" s="69"/>
      <c r="I453" s="69"/>
      <c r="J453" s="69"/>
      <c r="K453" s="5"/>
      <c r="L453" s="5"/>
      <c r="M453" s="5"/>
      <c r="N453" s="5"/>
    </row>
    <row r="454" spans="2:14" ht="15.75" customHeight="1">
      <c r="B454" s="58">
        <f>'Tabulation Sheet'!B454</f>
        <v>0</v>
      </c>
      <c r="C454" s="66">
        <f>'Tabulation Sheet'!C454</f>
        <v>0</v>
      </c>
      <c r="D454" s="4">
        <f>'Tabulation Sheet'!D454</f>
        <v>0</v>
      </c>
      <c r="E454" s="4">
        <f>'Tabulation Sheet'!E454</f>
        <v>0</v>
      </c>
      <c r="F454" s="4">
        <f>'Tabulation Sheet'!F454</f>
        <v>0</v>
      </c>
      <c r="G454" s="69"/>
      <c r="H454" s="69"/>
      <c r="I454" s="69"/>
      <c r="J454" s="69"/>
      <c r="K454" s="5"/>
      <c r="L454" s="5"/>
      <c r="M454" s="5"/>
      <c r="N454" s="5"/>
    </row>
    <row r="455" spans="2:14" ht="15.75" customHeight="1">
      <c r="B455" s="58">
        <f>'Tabulation Sheet'!B455</f>
        <v>0</v>
      </c>
      <c r="C455" s="66">
        <f>'Tabulation Sheet'!C455</f>
        <v>0</v>
      </c>
      <c r="D455" s="4">
        <f>'Tabulation Sheet'!D455</f>
        <v>0</v>
      </c>
      <c r="E455" s="4">
        <f>'Tabulation Sheet'!E455</f>
        <v>0</v>
      </c>
      <c r="F455" s="4">
        <f>'Tabulation Sheet'!F455</f>
        <v>0</v>
      </c>
      <c r="G455" s="69"/>
      <c r="H455" s="69"/>
      <c r="I455" s="69"/>
      <c r="J455" s="69"/>
      <c r="K455" s="5"/>
      <c r="L455" s="5"/>
      <c r="M455" s="5"/>
      <c r="N455" s="5"/>
    </row>
    <row r="456" spans="2:14" ht="15.75" customHeight="1">
      <c r="B456" s="58">
        <f>'Tabulation Sheet'!B456</f>
        <v>0</v>
      </c>
      <c r="C456" s="66">
        <f>'Tabulation Sheet'!C456</f>
        <v>0</v>
      </c>
      <c r="D456" s="4">
        <f>'Tabulation Sheet'!D456</f>
        <v>0</v>
      </c>
      <c r="E456" s="4">
        <f>'Tabulation Sheet'!E456</f>
        <v>0</v>
      </c>
      <c r="F456" s="4">
        <f>'Tabulation Sheet'!F456</f>
        <v>0</v>
      </c>
      <c r="G456" s="69"/>
      <c r="H456" s="69"/>
      <c r="I456" s="69"/>
      <c r="J456" s="69"/>
      <c r="K456" s="5"/>
      <c r="L456" s="5"/>
      <c r="M456" s="5"/>
      <c r="N456" s="5"/>
    </row>
    <row r="457" spans="2:14" ht="15.75" customHeight="1">
      <c r="B457" s="58">
        <f>'Tabulation Sheet'!B457</f>
        <v>0</v>
      </c>
      <c r="C457" s="66">
        <f>'Tabulation Sheet'!C457</f>
        <v>0</v>
      </c>
      <c r="D457" s="4">
        <f>'Tabulation Sheet'!D457</f>
        <v>0</v>
      </c>
      <c r="E457" s="4">
        <f>'Tabulation Sheet'!E457</f>
        <v>0</v>
      </c>
      <c r="F457" s="4">
        <f>'Tabulation Sheet'!F457</f>
        <v>0</v>
      </c>
      <c r="G457" s="69"/>
      <c r="H457" s="69"/>
      <c r="I457" s="69"/>
      <c r="J457" s="69"/>
      <c r="K457" s="5"/>
      <c r="L457" s="5"/>
      <c r="M457" s="5"/>
      <c r="N457" s="5"/>
    </row>
    <row r="458" spans="2:14" ht="15.75" customHeight="1">
      <c r="B458" s="58">
        <f>'Tabulation Sheet'!B458</f>
        <v>0</v>
      </c>
      <c r="C458" s="66">
        <f>'Tabulation Sheet'!C458</f>
        <v>0</v>
      </c>
      <c r="D458" s="4">
        <f>'Tabulation Sheet'!D458</f>
        <v>0</v>
      </c>
      <c r="E458" s="4">
        <f>'Tabulation Sheet'!E458</f>
        <v>0</v>
      </c>
      <c r="F458" s="4">
        <f>'Tabulation Sheet'!F458</f>
        <v>0</v>
      </c>
      <c r="G458" s="69"/>
      <c r="H458" s="69"/>
      <c r="I458" s="69"/>
      <c r="J458" s="69"/>
      <c r="K458" s="5"/>
      <c r="L458" s="5"/>
      <c r="M458" s="5"/>
      <c r="N458" s="5"/>
    </row>
    <row r="459" spans="2:14" ht="15.75" customHeight="1">
      <c r="B459" s="58">
        <f>'Tabulation Sheet'!B459</f>
        <v>0</v>
      </c>
      <c r="C459" s="66">
        <f>'Tabulation Sheet'!C459</f>
        <v>0</v>
      </c>
      <c r="D459" s="4">
        <f>'Tabulation Sheet'!D459</f>
        <v>0</v>
      </c>
      <c r="E459" s="4">
        <f>'Tabulation Sheet'!E459</f>
        <v>0</v>
      </c>
      <c r="F459" s="4">
        <f>'Tabulation Sheet'!F459</f>
        <v>0</v>
      </c>
      <c r="G459" s="69"/>
      <c r="H459" s="69"/>
      <c r="I459" s="69"/>
      <c r="J459" s="69"/>
      <c r="K459" s="5"/>
      <c r="L459" s="5"/>
      <c r="M459" s="5"/>
      <c r="N459" s="5"/>
    </row>
    <row r="460" spans="2:14" ht="15.75" customHeight="1">
      <c r="B460" s="58">
        <f>'Tabulation Sheet'!B460</f>
        <v>0</v>
      </c>
      <c r="C460" s="66">
        <f>'Tabulation Sheet'!C460</f>
        <v>0</v>
      </c>
      <c r="D460" s="4">
        <f>'Tabulation Sheet'!D460</f>
        <v>0</v>
      </c>
      <c r="E460" s="4">
        <f>'Tabulation Sheet'!E460</f>
        <v>0</v>
      </c>
      <c r="F460" s="4">
        <f>'Tabulation Sheet'!F460</f>
        <v>0</v>
      </c>
      <c r="G460" s="69"/>
      <c r="H460" s="69"/>
      <c r="I460" s="69"/>
      <c r="J460" s="69"/>
      <c r="K460" s="5"/>
      <c r="L460" s="5"/>
      <c r="M460" s="5"/>
      <c r="N460" s="5"/>
    </row>
    <row r="461" spans="2:14" ht="15.75" customHeight="1">
      <c r="B461" s="58">
        <f>'Tabulation Sheet'!B461</f>
        <v>0</v>
      </c>
      <c r="C461" s="66">
        <f>'Tabulation Sheet'!C461</f>
        <v>0</v>
      </c>
      <c r="D461" s="4">
        <f>'Tabulation Sheet'!D461</f>
        <v>0</v>
      </c>
      <c r="E461" s="4">
        <f>'Tabulation Sheet'!E461</f>
        <v>0</v>
      </c>
      <c r="F461" s="4">
        <f>'Tabulation Sheet'!F461</f>
        <v>0</v>
      </c>
      <c r="G461" s="69"/>
      <c r="H461" s="69"/>
      <c r="I461" s="69"/>
      <c r="J461" s="69"/>
      <c r="K461" s="5"/>
      <c r="L461" s="5"/>
      <c r="M461" s="5"/>
      <c r="N461" s="5"/>
    </row>
    <row r="462" spans="2:14" ht="15.75" customHeight="1">
      <c r="B462" s="58">
        <f>'Tabulation Sheet'!B462</f>
        <v>0</v>
      </c>
      <c r="C462" s="66">
        <f>'Tabulation Sheet'!C462</f>
        <v>0</v>
      </c>
      <c r="D462" s="4">
        <f>'Tabulation Sheet'!D462</f>
        <v>0</v>
      </c>
      <c r="E462" s="4">
        <f>'Tabulation Sheet'!E462</f>
        <v>0</v>
      </c>
      <c r="F462" s="4">
        <f>'Tabulation Sheet'!F462</f>
        <v>0</v>
      </c>
      <c r="G462" s="69"/>
      <c r="H462" s="69"/>
      <c r="I462" s="69"/>
      <c r="J462" s="69"/>
      <c r="K462" s="5"/>
      <c r="L462" s="5"/>
      <c r="M462" s="5"/>
      <c r="N462" s="5"/>
    </row>
    <row r="463" spans="2:14" ht="15.75" customHeight="1">
      <c r="B463" s="58">
        <f>'Tabulation Sheet'!B463</f>
        <v>0</v>
      </c>
      <c r="C463" s="66">
        <f>'Tabulation Sheet'!C463</f>
        <v>0</v>
      </c>
      <c r="D463" s="4">
        <f>'Tabulation Sheet'!D463</f>
        <v>0</v>
      </c>
      <c r="E463" s="4">
        <f>'Tabulation Sheet'!E463</f>
        <v>0</v>
      </c>
      <c r="F463" s="4">
        <f>'Tabulation Sheet'!F463</f>
        <v>0</v>
      </c>
      <c r="G463" s="69"/>
      <c r="H463" s="69"/>
      <c r="I463" s="69"/>
      <c r="J463" s="69"/>
      <c r="K463" s="5"/>
      <c r="L463" s="5"/>
      <c r="M463" s="5"/>
      <c r="N463" s="5"/>
    </row>
    <row r="464" spans="2:14" ht="15.75" customHeight="1">
      <c r="B464" s="58">
        <f>'Tabulation Sheet'!B464</f>
        <v>0</v>
      </c>
      <c r="C464" s="66">
        <f>'Tabulation Sheet'!C464</f>
        <v>0</v>
      </c>
      <c r="D464" s="4">
        <f>'Tabulation Sheet'!D464</f>
        <v>0</v>
      </c>
      <c r="E464" s="4">
        <f>'Tabulation Sheet'!E464</f>
        <v>0</v>
      </c>
      <c r="F464" s="4">
        <f>'Tabulation Sheet'!F464</f>
        <v>0</v>
      </c>
      <c r="G464" s="69"/>
      <c r="H464" s="69"/>
      <c r="I464" s="69"/>
      <c r="J464" s="69"/>
      <c r="K464" s="5"/>
      <c r="L464" s="5"/>
      <c r="M464" s="5"/>
      <c r="N464" s="5"/>
    </row>
    <row r="465" spans="2:14" ht="15.75" customHeight="1">
      <c r="B465" s="58">
        <f>'Tabulation Sheet'!B465</f>
        <v>0</v>
      </c>
      <c r="C465" s="66">
        <f>'Tabulation Sheet'!C465</f>
        <v>0</v>
      </c>
      <c r="D465" s="4">
        <f>'Tabulation Sheet'!D465</f>
        <v>0</v>
      </c>
      <c r="E465" s="4">
        <f>'Tabulation Sheet'!E465</f>
        <v>0</v>
      </c>
      <c r="F465" s="4">
        <f>'Tabulation Sheet'!F465</f>
        <v>0</v>
      </c>
      <c r="G465" s="69"/>
      <c r="H465" s="69"/>
      <c r="I465" s="69"/>
      <c r="J465" s="69"/>
      <c r="K465" s="5"/>
      <c r="L465" s="5"/>
      <c r="M465" s="5"/>
      <c r="N465" s="5"/>
    </row>
    <row r="466" spans="2:14" ht="15.75" customHeight="1">
      <c r="B466" s="58">
        <f>'Tabulation Sheet'!B466</f>
        <v>0</v>
      </c>
      <c r="C466" s="66">
        <f>'Tabulation Sheet'!C466</f>
        <v>0</v>
      </c>
      <c r="D466" s="4">
        <f>'Tabulation Sheet'!D466</f>
        <v>0</v>
      </c>
      <c r="E466" s="4">
        <f>'Tabulation Sheet'!E466</f>
        <v>0</v>
      </c>
      <c r="F466" s="4">
        <f>'Tabulation Sheet'!F466</f>
        <v>0</v>
      </c>
      <c r="G466" s="69"/>
      <c r="H466" s="69"/>
      <c r="I466" s="69"/>
      <c r="J466" s="69"/>
      <c r="K466" s="5"/>
      <c r="L466" s="5"/>
      <c r="M466" s="5"/>
      <c r="N466" s="5"/>
    </row>
    <row r="467" spans="2:14" ht="15.75" customHeight="1">
      <c r="B467" s="58">
        <f>'Tabulation Sheet'!B467</f>
        <v>0</v>
      </c>
      <c r="C467" s="66">
        <f>'Tabulation Sheet'!C467</f>
        <v>0</v>
      </c>
      <c r="D467" s="4">
        <f>'Tabulation Sheet'!D467</f>
        <v>0</v>
      </c>
      <c r="E467" s="4">
        <f>'Tabulation Sheet'!E467</f>
        <v>0</v>
      </c>
      <c r="F467" s="4">
        <f>'Tabulation Sheet'!F467</f>
        <v>0</v>
      </c>
      <c r="G467" s="69"/>
      <c r="H467" s="69"/>
      <c r="I467" s="69"/>
      <c r="J467" s="69"/>
      <c r="K467" s="5"/>
      <c r="L467" s="5"/>
      <c r="M467" s="5"/>
      <c r="N467" s="5"/>
    </row>
    <row r="468" spans="2:14" ht="15.75" customHeight="1">
      <c r="B468" s="58">
        <f>'Tabulation Sheet'!B468</f>
        <v>0</v>
      </c>
      <c r="C468" s="66">
        <f>'Tabulation Sheet'!C468</f>
        <v>0</v>
      </c>
      <c r="D468" s="4">
        <f>'Tabulation Sheet'!D468</f>
        <v>0</v>
      </c>
      <c r="E468" s="4">
        <f>'Tabulation Sheet'!E468</f>
        <v>0</v>
      </c>
      <c r="F468" s="4">
        <f>'Tabulation Sheet'!F468</f>
        <v>0</v>
      </c>
      <c r="G468" s="69"/>
      <c r="H468" s="69"/>
      <c r="I468" s="69"/>
      <c r="J468" s="69"/>
      <c r="K468" s="5"/>
      <c r="L468" s="5"/>
      <c r="M468" s="5"/>
      <c r="N468" s="5"/>
    </row>
    <row r="469" spans="2:14" ht="15.75" customHeight="1">
      <c r="B469" s="58">
        <f>'Tabulation Sheet'!B469</f>
        <v>0</v>
      </c>
      <c r="C469" s="66">
        <f>'Tabulation Sheet'!C469</f>
        <v>0</v>
      </c>
      <c r="D469" s="4">
        <f>'Tabulation Sheet'!D469</f>
        <v>0</v>
      </c>
      <c r="E469" s="4">
        <f>'Tabulation Sheet'!E469</f>
        <v>0</v>
      </c>
      <c r="F469" s="4">
        <f>'Tabulation Sheet'!F469</f>
        <v>0</v>
      </c>
      <c r="G469" s="69"/>
      <c r="H469" s="69"/>
      <c r="I469" s="69"/>
      <c r="J469" s="69"/>
      <c r="K469" s="5"/>
      <c r="L469" s="5"/>
      <c r="M469" s="5"/>
      <c r="N469" s="5"/>
    </row>
    <row r="470" spans="2:14" ht="15.75" customHeight="1">
      <c r="B470" s="58">
        <f>'Tabulation Sheet'!B470</f>
        <v>0</v>
      </c>
      <c r="C470" s="66">
        <f>'Tabulation Sheet'!C470</f>
        <v>0</v>
      </c>
      <c r="D470" s="4">
        <f>'Tabulation Sheet'!D470</f>
        <v>0</v>
      </c>
      <c r="E470" s="4">
        <f>'Tabulation Sheet'!E470</f>
        <v>0</v>
      </c>
      <c r="F470" s="4">
        <f>'Tabulation Sheet'!F470</f>
        <v>0</v>
      </c>
      <c r="G470" s="69"/>
      <c r="H470" s="69"/>
      <c r="I470" s="69"/>
      <c r="J470" s="69"/>
      <c r="K470" s="5"/>
      <c r="L470" s="5"/>
      <c r="M470" s="5"/>
      <c r="N470" s="5"/>
    </row>
    <row r="471" spans="2:14" ht="15.75" customHeight="1">
      <c r="B471" s="58">
        <f>'Tabulation Sheet'!B471</f>
        <v>0</v>
      </c>
      <c r="C471" s="66">
        <f>'Tabulation Sheet'!C471</f>
        <v>0</v>
      </c>
      <c r="D471" s="4">
        <f>'Tabulation Sheet'!D471</f>
        <v>0</v>
      </c>
      <c r="E471" s="4">
        <f>'Tabulation Sheet'!E471</f>
        <v>0</v>
      </c>
      <c r="F471" s="4">
        <f>'Tabulation Sheet'!F471</f>
        <v>0</v>
      </c>
      <c r="G471" s="69"/>
      <c r="H471" s="69"/>
      <c r="I471" s="69"/>
      <c r="J471" s="69"/>
      <c r="K471" s="5"/>
      <c r="L471" s="5"/>
      <c r="M471" s="5"/>
      <c r="N471" s="5"/>
    </row>
    <row r="472" spans="2:14" ht="15.75" customHeight="1">
      <c r="B472" s="58">
        <f>'Tabulation Sheet'!B472</f>
        <v>0</v>
      </c>
      <c r="C472" s="66">
        <f>'Tabulation Sheet'!C472</f>
        <v>0</v>
      </c>
      <c r="D472" s="4">
        <f>'Tabulation Sheet'!D472</f>
        <v>0</v>
      </c>
      <c r="E472" s="4">
        <f>'Tabulation Sheet'!E472</f>
        <v>0</v>
      </c>
      <c r="F472" s="4">
        <f>'Tabulation Sheet'!F472</f>
        <v>0</v>
      </c>
      <c r="G472" s="69"/>
      <c r="H472" s="69"/>
      <c r="I472" s="69"/>
      <c r="J472" s="69"/>
      <c r="K472" s="5"/>
      <c r="L472" s="5"/>
      <c r="M472" s="5"/>
      <c r="N472" s="5"/>
    </row>
    <row r="473" spans="2:14" ht="15.75" customHeight="1">
      <c r="B473" s="58">
        <f>'Tabulation Sheet'!B473</f>
        <v>0</v>
      </c>
      <c r="C473" s="66">
        <f>'Tabulation Sheet'!C473</f>
        <v>0</v>
      </c>
      <c r="D473" s="4">
        <f>'Tabulation Sheet'!D473</f>
        <v>0</v>
      </c>
      <c r="E473" s="4">
        <f>'Tabulation Sheet'!E473</f>
        <v>0</v>
      </c>
      <c r="F473" s="4">
        <f>'Tabulation Sheet'!F473</f>
        <v>0</v>
      </c>
      <c r="G473" s="69"/>
      <c r="H473" s="69"/>
      <c r="I473" s="69"/>
      <c r="J473" s="69"/>
      <c r="K473" s="5"/>
      <c r="L473" s="5"/>
      <c r="M473" s="5"/>
      <c r="N473" s="5"/>
    </row>
    <row r="474" spans="2:14" ht="15.75" customHeight="1">
      <c r="B474" s="58">
        <f>'Tabulation Sheet'!B474</f>
        <v>0</v>
      </c>
      <c r="C474" s="66">
        <f>'Tabulation Sheet'!C474</f>
        <v>0</v>
      </c>
      <c r="D474" s="4">
        <f>'Tabulation Sheet'!D474</f>
        <v>0</v>
      </c>
      <c r="E474" s="4">
        <f>'Tabulation Sheet'!E474</f>
        <v>0</v>
      </c>
      <c r="F474" s="4">
        <f>'Tabulation Sheet'!F474</f>
        <v>0</v>
      </c>
      <c r="G474" s="69"/>
      <c r="H474" s="69"/>
      <c r="I474" s="69"/>
      <c r="J474" s="69"/>
      <c r="K474" s="5"/>
      <c r="L474" s="5"/>
      <c r="M474" s="5"/>
      <c r="N474" s="5"/>
    </row>
    <row r="475" spans="2:14" ht="15.75" customHeight="1">
      <c r="B475" s="58">
        <f>'Tabulation Sheet'!B475</f>
        <v>0</v>
      </c>
      <c r="C475" s="66">
        <f>'Tabulation Sheet'!C475</f>
        <v>0</v>
      </c>
      <c r="D475" s="4">
        <f>'Tabulation Sheet'!D475</f>
        <v>0</v>
      </c>
      <c r="E475" s="4">
        <f>'Tabulation Sheet'!E475</f>
        <v>0</v>
      </c>
      <c r="F475" s="4">
        <f>'Tabulation Sheet'!F475</f>
        <v>0</v>
      </c>
      <c r="G475" s="69"/>
      <c r="H475" s="69"/>
      <c r="I475" s="69"/>
      <c r="J475" s="69"/>
      <c r="K475" s="5"/>
      <c r="L475" s="5"/>
      <c r="M475" s="5"/>
      <c r="N475" s="5"/>
    </row>
    <row r="476" spans="2:14" ht="15.75" customHeight="1">
      <c r="B476" s="58">
        <f>'Tabulation Sheet'!B476</f>
        <v>0</v>
      </c>
      <c r="C476" s="66">
        <f>'Tabulation Sheet'!C476</f>
        <v>0</v>
      </c>
      <c r="D476" s="4">
        <f>'Tabulation Sheet'!D476</f>
        <v>0</v>
      </c>
      <c r="E476" s="4">
        <f>'Tabulation Sheet'!E476</f>
        <v>0</v>
      </c>
      <c r="F476" s="4">
        <f>'Tabulation Sheet'!F476</f>
        <v>0</v>
      </c>
      <c r="G476" s="69"/>
      <c r="H476" s="69"/>
      <c r="I476" s="69"/>
      <c r="J476" s="69"/>
      <c r="K476" s="5"/>
      <c r="L476" s="5"/>
      <c r="M476" s="5"/>
      <c r="N476" s="5"/>
    </row>
    <row r="477" spans="2:14" ht="15.75" customHeight="1">
      <c r="B477" s="58">
        <f>'Tabulation Sheet'!B477</f>
        <v>0</v>
      </c>
      <c r="C477" s="66">
        <f>'Tabulation Sheet'!C477</f>
        <v>0</v>
      </c>
      <c r="D477" s="4">
        <f>'Tabulation Sheet'!D477</f>
        <v>0</v>
      </c>
      <c r="E477" s="4">
        <f>'Tabulation Sheet'!E477</f>
        <v>0</v>
      </c>
      <c r="F477" s="4">
        <f>'Tabulation Sheet'!F477</f>
        <v>0</v>
      </c>
      <c r="G477" s="69"/>
      <c r="H477" s="69"/>
      <c r="I477" s="69"/>
      <c r="J477" s="69"/>
      <c r="K477" s="5"/>
      <c r="L477" s="5"/>
      <c r="M477" s="5"/>
      <c r="N477" s="5"/>
    </row>
    <row r="478" spans="2:14" ht="15.75" customHeight="1">
      <c r="B478" s="58">
        <f>'Tabulation Sheet'!B478</f>
        <v>0</v>
      </c>
      <c r="C478" s="66">
        <f>'Tabulation Sheet'!C478</f>
        <v>0</v>
      </c>
      <c r="D478" s="4">
        <f>'Tabulation Sheet'!D478</f>
        <v>0</v>
      </c>
      <c r="E478" s="4">
        <f>'Tabulation Sheet'!E478</f>
        <v>0</v>
      </c>
      <c r="F478" s="4">
        <f>'Tabulation Sheet'!F478</f>
        <v>0</v>
      </c>
      <c r="G478" s="69"/>
      <c r="H478" s="69"/>
      <c r="I478" s="69"/>
      <c r="J478" s="69"/>
      <c r="K478" s="5"/>
      <c r="L478" s="5"/>
      <c r="M478" s="5"/>
      <c r="N478" s="5"/>
    </row>
    <row r="479" spans="2:14" ht="15.75" customHeight="1">
      <c r="B479" s="58">
        <f>'Tabulation Sheet'!B479</f>
        <v>0</v>
      </c>
      <c r="C479" s="66">
        <f>'Tabulation Sheet'!C479</f>
        <v>0</v>
      </c>
      <c r="D479" s="4">
        <f>'Tabulation Sheet'!D479</f>
        <v>0</v>
      </c>
      <c r="E479" s="4">
        <f>'Tabulation Sheet'!E479</f>
        <v>0</v>
      </c>
      <c r="F479" s="4">
        <f>'Tabulation Sheet'!F479</f>
        <v>0</v>
      </c>
      <c r="G479" s="69"/>
      <c r="H479" s="69"/>
      <c r="I479" s="69"/>
      <c r="J479" s="69"/>
      <c r="K479" s="5"/>
      <c r="L479" s="5"/>
      <c r="M479" s="5"/>
      <c r="N479" s="5"/>
    </row>
    <row r="480" spans="2:14" ht="15.75" customHeight="1">
      <c r="B480" s="58">
        <f>'Tabulation Sheet'!B480</f>
        <v>0</v>
      </c>
      <c r="C480" s="66">
        <f>'Tabulation Sheet'!C480</f>
        <v>0</v>
      </c>
      <c r="D480" s="4">
        <f>'Tabulation Sheet'!D480</f>
        <v>0</v>
      </c>
      <c r="E480" s="4">
        <f>'Tabulation Sheet'!E480</f>
        <v>0</v>
      </c>
      <c r="F480" s="4">
        <f>'Tabulation Sheet'!F480</f>
        <v>0</v>
      </c>
      <c r="G480" s="69"/>
      <c r="H480" s="69"/>
      <c r="I480" s="69"/>
      <c r="J480" s="69"/>
      <c r="K480" s="5"/>
      <c r="L480" s="5"/>
      <c r="M480" s="5"/>
      <c r="N480" s="5"/>
    </row>
    <row r="481" spans="2:14" ht="15.75" customHeight="1">
      <c r="B481" s="58">
        <f>'Tabulation Sheet'!B481</f>
        <v>0</v>
      </c>
      <c r="C481" s="66">
        <f>'Tabulation Sheet'!C481</f>
        <v>0</v>
      </c>
      <c r="D481" s="4">
        <f>'Tabulation Sheet'!D481</f>
        <v>0</v>
      </c>
      <c r="E481" s="4">
        <f>'Tabulation Sheet'!E481</f>
        <v>0</v>
      </c>
      <c r="F481" s="4">
        <f>'Tabulation Sheet'!F481</f>
        <v>0</v>
      </c>
      <c r="G481" s="69"/>
      <c r="H481" s="69"/>
      <c r="I481" s="69"/>
      <c r="J481" s="69"/>
      <c r="K481" s="5"/>
      <c r="L481" s="5"/>
      <c r="M481" s="5"/>
      <c r="N481" s="5"/>
    </row>
    <row r="482" spans="2:14" ht="15.75" customHeight="1">
      <c r="B482" s="58">
        <f>'Tabulation Sheet'!B482</f>
        <v>0</v>
      </c>
      <c r="C482" s="66">
        <f>'Tabulation Sheet'!C482</f>
        <v>0</v>
      </c>
      <c r="D482" s="4">
        <f>'Tabulation Sheet'!D482</f>
        <v>0</v>
      </c>
      <c r="E482" s="4">
        <f>'Tabulation Sheet'!E482</f>
        <v>0</v>
      </c>
      <c r="F482" s="4">
        <f>'Tabulation Sheet'!F482</f>
        <v>0</v>
      </c>
      <c r="G482" s="69"/>
      <c r="H482" s="69"/>
      <c r="I482" s="69"/>
      <c r="J482" s="69"/>
      <c r="K482" s="5"/>
      <c r="L482" s="5"/>
      <c r="M482" s="5"/>
      <c r="N482" s="5"/>
    </row>
    <row r="483" spans="2:14" ht="15.75" customHeight="1">
      <c r="B483" s="58">
        <f>'Tabulation Sheet'!B483</f>
        <v>0</v>
      </c>
      <c r="C483" s="66">
        <f>'Tabulation Sheet'!C483</f>
        <v>0</v>
      </c>
      <c r="D483" s="4">
        <f>'Tabulation Sheet'!D483</f>
        <v>0</v>
      </c>
      <c r="E483" s="4">
        <f>'Tabulation Sheet'!E483</f>
        <v>0</v>
      </c>
      <c r="F483" s="4">
        <f>'Tabulation Sheet'!F483</f>
        <v>0</v>
      </c>
      <c r="G483" s="69"/>
      <c r="H483" s="69"/>
      <c r="I483" s="69"/>
      <c r="J483" s="69"/>
      <c r="K483" s="5"/>
      <c r="L483" s="5"/>
      <c r="M483" s="5"/>
      <c r="N483" s="5"/>
    </row>
    <row r="484" spans="2:14" ht="15.75" customHeight="1">
      <c r="B484" s="58">
        <f>'Tabulation Sheet'!B484</f>
        <v>0</v>
      </c>
      <c r="C484" s="66">
        <f>'Tabulation Sheet'!C484</f>
        <v>0</v>
      </c>
      <c r="D484" s="4">
        <f>'Tabulation Sheet'!D484</f>
        <v>0</v>
      </c>
      <c r="E484" s="4">
        <f>'Tabulation Sheet'!E484</f>
        <v>0</v>
      </c>
      <c r="F484" s="4">
        <f>'Tabulation Sheet'!F484</f>
        <v>0</v>
      </c>
      <c r="G484" s="69"/>
      <c r="H484" s="69"/>
      <c r="I484" s="69"/>
      <c r="J484" s="69"/>
      <c r="K484" s="5"/>
      <c r="L484" s="5"/>
      <c r="M484" s="5"/>
      <c r="N484" s="5"/>
    </row>
    <row r="485" spans="2:14" ht="15.75" customHeight="1">
      <c r="B485" s="58">
        <f>'Tabulation Sheet'!B485</f>
        <v>0</v>
      </c>
      <c r="C485" s="66">
        <f>'Tabulation Sheet'!C485</f>
        <v>0</v>
      </c>
      <c r="D485" s="4">
        <f>'Tabulation Sheet'!D485</f>
        <v>0</v>
      </c>
      <c r="E485" s="4">
        <f>'Tabulation Sheet'!E485</f>
        <v>0</v>
      </c>
      <c r="F485" s="4">
        <f>'Tabulation Sheet'!F485</f>
        <v>0</v>
      </c>
      <c r="G485" s="69"/>
      <c r="H485" s="69"/>
      <c r="I485" s="69"/>
      <c r="J485" s="69"/>
      <c r="K485" s="5"/>
      <c r="L485" s="5"/>
      <c r="M485" s="5"/>
      <c r="N485" s="5"/>
    </row>
    <row r="486" spans="2:14" ht="15.75" customHeight="1">
      <c r="B486" s="58">
        <f>'Tabulation Sheet'!B486</f>
        <v>0</v>
      </c>
      <c r="C486" s="66">
        <f>'Tabulation Sheet'!C486</f>
        <v>0</v>
      </c>
      <c r="D486" s="4">
        <f>'Tabulation Sheet'!D486</f>
        <v>0</v>
      </c>
      <c r="E486" s="4">
        <f>'Tabulation Sheet'!E486</f>
        <v>0</v>
      </c>
      <c r="F486" s="4">
        <f>'Tabulation Sheet'!F486</f>
        <v>0</v>
      </c>
      <c r="G486" s="69"/>
      <c r="H486" s="69"/>
      <c r="I486" s="69"/>
      <c r="J486" s="69"/>
      <c r="K486" s="5"/>
      <c r="L486" s="5"/>
      <c r="M486" s="5"/>
      <c r="N486" s="5"/>
    </row>
    <row r="487" spans="2:14" ht="15.75" customHeight="1">
      <c r="B487" s="58">
        <f>'Tabulation Sheet'!B487</f>
        <v>0</v>
      </c>
      <c r="C487" s="66">
        <f>'Tabulation Sheet'!C487</f>
        <v>0</v>
      </c>
      <c r="D487" s="4">
        <f>'Tabulation Sheet'!D487</f>
        <v>0</v>
      </c>
      <c r="E487" s="4">
        <f>'Tabulation Sheet'!E487</f>
        <v>0</v>
      </c>
      <c r="F487" s="4">
        <f>'Tabulation Sheet'!F487</f>
        <v>0</v>
      </c>
      <c r="G487" s="69"/>
      <c r="H487" s="69"/>
      <c r="I487" s="69"/>
      <c r="J487" s="69"/>
      <c r="K487" s="5"/>
      <c r="L487" s="5"/>
      <c r="M487" s="5"/>
      <c r="N487" s="5"/>
    </row>
    <row r="488" spans="2:14" ht="15.75" customHeight="1">
      <c r="B488" s="58">
        <f>'Tabulation Sheet'!B488</f>
        <v>0</v>
      </c>
      <c r="C488" s="66">
        <f>'Tabulation Sheet'!C488</f>
        <v>0</v>
      </c>
      <c r="D488" s="4">
        <f>'Tabulation Sheet'!D488</f>
        <v>0</v>
      </c>
      <c r="E488" s="4">
        <f>'Tabulation Sheet'!E488</f>
        <v>0</v>
      </c>
      <c r="F488" s="4">
        <f>'Tabulation Sheet'!F488</f>
        <v>0</v>
      </c>
      <c r="G488" s="69"/>
      <c r="H488" s="69"/>
      <c r="I488" s="69"/>
      <c r="J488" s="69"/>
      <c r="K488" s="5"/>
      <c r="L488" s="5"/>
      <c r="M488" s="5"/>
      <c r="N488" s="5"/>
    </row>
    <row r="489" spans="2:14" ht="15.75" customHeight="1">
      <c r="B489" s="58">
        <f>'Tabulation Sheet'!B489</f>
        <v>0</v>
      </c>
      <c r="C489" s="66">
        <f>'Tabulation Sheet'!C489</f>
        <v>0</v>
      </c>
      <c r="D489" s="4">
        <f>'Tabulation Sheet'!D489</f>
        <v>0</v>
      </c>
      <c r="E489" s="4">
        <f>'Tabulation Sheet'!E489</f>
        <v>0</v>
      </c>
      <c r="F489" s="4">
        <f>'Tabulation Sheet'!F489</f>
        <v>0</v>
      </c>
      <c r="G489" s="69"/>
      <c r="H489" s="69"/>
      <c r="I489" s="69"/>
      <c r="J489" s="69"/>
      <c r="K489" s="5"/>
      <c r="L489" s="5"/>
      <c r="M489" s="5"/>
      <c r="N489" s="5"/>
    </row>
    <row r="490" spans="2:14" ht="15.75" customHeight="1">
      <c r="B490" s="58">
        <f>'Tabulation Sheet'!B490</f>
        <v>0</v>
      </c>
      <c r="C490" s="66">
        <f>'Tabulation Sheet'!C490</f>
        <v>0</v>
      </c>
      <c r="D490" s="4">
        <f>'Tabulation Sheet'!D490</f>
        <v>0</v>
      </c>
      <c r="E490" s="4">
        <f>'Tabulation Sheet'!E490</f>
        <v>0</v>
      </c>
      <c r="F490" s="4">
        <f>'Tabulation Sheet'!F490</f>
        <v>0</v>
      </c>
      <c r="G490" s="69"/>
      <c r="H490" s="69"/>
      <c r="I490" s="69"/>
      <c r="J490" s="69"/>
      <c r="K490" s="5"/>
      <c r="L490" s="5"/>
      <c r="M490" s="5"/>
      <c r="N490" s="5"/>
    </row>
    <row r="491" spans="2:14" ht="15.75" customHeight="1">
      <c r="B491" s="58">
        <f>'Tabulation Sheet'!B491</f>
        <v>0</v>
      </c>
      <c r="C491" s="66">
        <f>'Tabulation Sheet'!C491</f>
        <v>0</v>
      </c>
      <c r="D491" s="4">
        <f>'Tabulation Sheet'!D491</f>
        <v>0</v>
      </c>
      <c r="E491" s="4">
        <f>'Tabulation Sheet'!E491</f>
        <v>0</v>
      </c>
      <c r="F491" s="4">
        <f>'Tabulation Sheet'!F491</f>
        <v>0</v>
      </c>
      <c r="G491" s="69"/>
      <c r="H491" s="69"/>
      <c r="I491" s="69"/>
      <c r="J491" s="69"/>
      <c r="K491" s="5"/>
      <c r="L491" s="5"/>
      <c r="M491" s="5"/>
      <c r="N491" s="5"/>
    </row>
    <row r="492" spans="2:14" ht="15.75" customHeight="1">
      <c r="B492" s="58">
        <f>'Tabulation Sheet'!B492</f>
        <v>0</v>
      </c>
      <c r="C492" s="66">
        <f>'Tabulation Sheet'!C492</f>
        <v>0</v>
      </c>
      <c r="D492" s="4">
        <f>'Tabulation Sheet'!D492</f>
        <v>0</v>
      </c>
      <c r="E492" s="4">
        <f>'Tabulation Sheet'!E492</f>
        <v>0</v>
      </c>
      <c r="F492" s="4">
        <f>'Tabulation Sheet'!F492</f>
        <v>0</v>
      </c>
      <c r="G492" s="69"/>
      <c r="H492" s="69"/>
      <c r="I492" s="69"/>
      <c r="J492" s="69"/>
      <c r="K492" s="5"/>
      <c r="L492" s="5"/>
      <c r="M492" s="5"/>
      <c r="N492" s="5"/>
    </row>
    <row r="493" spans="2:14" ht="15.75" customHeight="1">
      <c r="B493" s="58">
        <f>'Tabulation Sheet'!B493</f>
        <v>0</v>
      </c>
      <c r="C493" s="66">
        <f>'Tabulation Sheet'!C493</f>
        <v>0</v>
      </c>
      <c r="D493" s="4">
        <f>'Tabulation Sheet'!D493</f>
        <v>0</v>
      </c>
      <c r="E493" s="4">
        <f>'Tabulation Sheet'!E493</f>
        <v>0</v>
      </c>
      <c r="F493" s="4">
        <f>'Tabulation Sheet'!F493</f>
        <v>0</v>
      </c>
      <c r="G493" s="69"/>
      <c r="H493" s="69"/>
      <c r="I493" s="69"/>
      <c r="J493" s="69"/>
      <c r="K493" s="5"/>
      <c r="L493" s="5"/>
      <c r="M493" s="5"/>
      <c r="N493" s="5"/>
    </row>
    <row r="494" spans="2:14" ht="15.75" customHeight="1">
      <c r="B494" s="58">
        <f>'Tabulation Sheet'!B494</f>
        <v>0</v>
      </c>
      <c r="C494" s="66">
        <f>'Tabulation Sheet'!C494</f>
        <v>0</v>
      </c>
      <c r="D494" s="4">
        <f>'Tabulation Sheet'!D494</f>
        <v>0</v>
      </c>
      <c r="E494" s="4">
        <f>'Tabulation Sheet'!E494</f>
        <v>0</v>
      </c>
      <c r="F494" s="4">
        <f>'Tabulation Sheet'!F494</f>
        <v>0</v>
      </c>
      <c r="G494" s="69"/>
      <c r="H494" s="69"/>
      <c r="I494" s="69"/>
      <c r="J494" s="69"/>
      <c r="K494" s="5"/>
      <c r="L494" s="5"/>
      <c r="M494" s="5"/>
      <c r="N494" s="5"/>
    </row>
    <row r="495" spans="2:14" ht="15.75" customHeight="1">
      <c r="B495" s="58">
        <f>'Tabulation Sheet'!B495</f>
        <v>0</v>
      </c>
      <c r="C495" s="66">
        <f>'Tabulation Sheet'!C495</f>
        <v>0</v>
      </c>
      <c r="D495" s="4">
        <f>'Tabulation Sheet'!D495</f>
        <v>0</v>
      </c>
      <c r="E495" s="4">
        <f>'Tabulation Sheet'!E495</f>
        <v>0</v>
      </c>
      <c r="F495" s="4">
        <f>'Tabulation Sheet'!F495</f>
        <v>0</v>
      </c>
      <c r="G495" s="69"/>
      <c r="H495" s="69"/>
      <c r="I495" s="69"/>
      <c r="J495" s="69"/>
      <c r="K495" s="5"/>
      <c r="L495" s="5"/>
      <c r="M495" s="5"/>
      <c r="N495" s="5"/>
    </row>
    <row r="496" spans="2:14" ht="15.75" customHeight="1">
      <c r="B496" s="58">
        <f>'Tabulation Sheet'!B496</f>
        <v>0</v>
      </c>
      <c r="C496" s="66">
        <f>'Tabulation Sheet'!C496</f>
        <v>0</v>
      </c>
      <c r="D496" s="4">
        <f>'Tabulation Sheet'!D496</f>
        <v>0</v>
      </c>
      <c r="E496" s="4">
        <f>'Tabulation Sheet'!E496</f>
        <v>0</v>
      </c>
      <c r="F496" s="4">
        <f>'Tabulation Sheet'!F496</f>
        <v>0</v>
      </c>
      <c r="G496" s="69"/>
      <c r="H496" s="69"/>
      <c r="I496" s="69"/>
      <c r="J496" s="69"/>
      <c r="K496" s="5"/>
      <c r="L496" s="5"/>
      <c r="M496" s="5"/>
      <c r="N496" s="5"/>
    </row>
    <row r="497" spans="2:14" ht="15.75" customHeight="1">
      <c r="B497" s="58">
        <f>'Tabulation Sheet'!B497</f>
        <v>0</v>
      </c>
      <c r="C497" s="66">
        <f>'Tabulation Sheet'!C497</f>
        <v>0</v>
      </c>
      <c r="D497" s="4">
        <f>'Tabulation Sheet'!D497</f>
        <v>0</v>
      </c>
      <c r="E497" s="4">
        <f>'Tabulation Sheet'!E497</f>
        <v>0</v>
      </c>
      <c r="F497" s="4">
        <f>'Tabulation Sheet'!F497</f>
        <v>0</v>
      </c>
      <c r="G497" s="69"/>
      <c r="H497" s="69"/>
      <c r="I497" s="69"/>
      <c r="J497" s="69"/>
      <c r="K497" s="5"/>
      <c r="L497" s="5"/>
      <c r="M497" s="5"/>
      <c r="N497" s="5"/>
    </row>
    <row r="498" spans="2:14" ht="15.75" customHeight="1">
      <c r="B498" s="58">
        <f>'Tabulation Sheet'!B498</f>
        <v>0</v>
      </c>
      <c r="C498" s="66">
        <f>'Tabulation Sheet'!C498</f>
        <v>0</v>
      </c>
      <c r="D498" s="4">
        <f>'Tabulation Sheet'!D498</f>
        <v>0</v>
      </c>
      <c r="E498" s="4">
        <f>'Tabulation Sheet'!E498</f>
        <v>0</v>
      </c>
      <c r="F498" s="4">
        <f>'Tabulation Sheet'!F498</f>
        <v>0</v>
      </c>
      <c r="G498" s="69"/>
      <c r="H498" s="69"/>
      <c r="I498" s="69"/>
      <c r="J498" s="69"/>
      <c r="K498" s="5"/>
      <c r="L498" s="5"/>
      <c r="M498" s="5"/>
      <c r="N498" s="5"/>
    </row>
    <row r="499" spans="2:14" ht="15.75" customHeight="1">
      <c r="B499" s="58">
        <f>'Tabulation Sheet'!B499</f>
        <v>0</v>
      </c>
      <c r="C499" s="66">
        <f>'Tabulation Sheet'!C499</f>
        <v>0</v>
      </c>
      <c r="D499" s="4">
        <f>'Tabulation Sheet'!D499</f>
        <v>0</v>
      </c>
      <c r="E499" s="4">
        <f>'Tabulation Sheet'!E499</f>
        <v>0</v>
      </c>
      <c r="F499" s="4">
        <f>'Tabulation Sheet'!F499</f>
        <v>0</v>
      </c>
      <c r="G499" s="69"/>
      <c r="H499" s="69"/>
      <c r="I499" s="69"/>
      <c r="J499" s="69"/>
      <c r="K499" s="5"/>
      <c r="L499" s="5"/>
      <c r="M499" s="5"/>
      <c r="N499" s="5"/>
    </row>
    <row r="500" spans="2:14" ht="15.75" customHeight="1">
      <c r="B500" s="58">
        <f>'Tabulation Sheet'!B500</f>
        <v>0</v>
      </c>
      <c r="C500" s="66">
        <f>'Tabulation Sheet'!C500</f>
        <v>0</v>
      </c>
      <c r="D500" s="4">
        <f>'Tabulation Sheet'!D500</f>
        <v>0</v>
      </c>
      <c r="E500" s="4">
        <f>'Tabulation Sheet'!E500</f>
        <v>0</v>
      </c>
      <c r="F500" s="4">
        <f>'Tabulation Sheet'!F500</f>
        <v>0</v>
      </c>
      <c r="G500" s="69"/>
      <c r="H500" s="69"/>
      <c r="I500" s="69"/>
      <c r="J500" s="69"/>
      <c r="K500" s="5"/>
      <c r="L500" s="5"/>
      <c r="M500" s="5"/>
      <c r="N500" s="5"/>
    </row>
    <row r="501" spans="2:14" ht="15.75" customHeight="1">
      <c r="B501" s="58">
        <f>'Tabulation Sheet'!B501</f>
        <v>0</v>
      </c>
      <c r="C501" s="66">
        <f>'Tabulation Sheet'!C501</f>
        <v>0</v>
      </c>
      <c r="D501" s="4">
        <f>'Tabulation Sheet'!D501</f>
        <v>0</v>
      </c>
      <c r="E501" s="4">
        <f>'Tabulation Sheet'!E501</f>
        <v>0</v>
      </c>
      <c r="F501" s="4">
        <f>'Tabulation Sheet'!F501</f>
        <v>0</v>
      </c>
      <c r="G501" s="69"/>
      <c r="H501" s="69"/>
      <c r="I501" s="69"/>
      <c r="J501" s="69"/>
      <c r="K501" s="5"/>
      <c r="L501" s="5"/>
      <c r="M501" s="5"/>
      <c r="N501" s="5"/>
    </row>
    <row r="502" spans="2:14" ht="15.75" customHeight="1">
      <c r="B502" s="58">
        <f>'Tabulation Sheet'!B502</f>
        <v>0</v>
      </c>
      <c r="C502" s="66">
        <f>'Tabulation Sheet'!C502</f>
        <v>0</v>
      </c>
      <c r="D502" s="4">
        <f>'Tabulation Sheet'!D502</f>
        <v>0</v>
      </c>
      <c r="E502" s="4">
        <f>'Tabulation Sheet'!E502</f>
        <v>0</v>
      </c>
      <c r="F502" s="4">
        <f>'Tabulation Sheet'!F502</f>
        <v>0</v>
      </c>
      <c r="G502" s="69"/>
      <c r="H502" s="69"/>
      <c r="I502" s="69"/>
      <c r="J502" s="69"/>
      <c r="K502" s="5"/>
      <c r="L502" s="5"/>
      <c r="M502" s="5"/>
      <c r="N502" s="5"/>
    </row>
    <row r="503" spans="2:14" ht="15.75" customHeight="1">
      <c r="B503" s="58">
        <f>'Tabulation Sheet'!B503</f>
        <v>0</v>
      </c>
      <c r="C503" s="66">
        <f>'Tabulation Sheet'!C503</f>
        <v>0</v>
      </c>
      <c r="D503" s="4">
        <f>'Tabulation Sheet'!D503</f>
        <v>0</v>
      </c>
      <c r="E503" s="4">
        <f>'Tabulation Sheet'!E503</f>
        <v>0</v>
      </c>
      <c r="F503" s="4">
        <f>'Tabulation Sheet'!F503</f>
        <v>0</v>
      </c>
      <c r="G503" s="69"/>
      <c r="H503" s="69"/>
      <c r="I503" s="69"/>
      <c r="J503" s="69"/>
      <c r="K503" s="5"/>
      <c r="L503" s="5"/>
      <c r="M503" s="5"/>
      <c r="N503" s="5"/>
    </row>
    <row r="504" spans="2:14" ht="15.75" customHeight="1">
      <c r="B504" s="58">
        <f>'Tabulation Sheet'!B504</f>
        <v>0</v>
      </c>
      <c r="C504" s="66">
        <f>'Tabulation Sheet'!C504</f>
        <v>0</v>
      </c>
      <c r="D504" s="4">
        <f>'Tabulation Sheet'!D504</f>
        <v>0</v>
      </c>
      <c r="E504" s="4">
        <f>'Tabulation Sheet'!E504</f>
        <v>0</v>
      </c>
      <c r="F504" s="4">
        <f>'Tabulation Sheet'!F504</f>
        <v>0</v>
      </c>
      <c r="G504" s="69"/>
      <c r="H504" s="69"/>
      <c r="I504" s="69"/>
      <c r="J504" s="69"/>
      <c r="K504" s="5"/>
      <c r="L504" s="5"/>
      <c r="M504" s="5"/>
      <c r="N504" s="5"/>
    </row>
    <row r="505" spans="2:14" ht="15.75" customHeight="1">
      <c r="B505" s="58">
        <f>'Tabulation Sheet'!B505</f>
        <v>0</v>
      </c>
      <c r="C505" s="66">
        <f>'Tabulation Sheet'!C505</f>
        <v>0</v>
      </c>
      <c r="D505" s="4">
        <f>'Tabulation Sheet'!D505</f>
        <v>0</v>
      </c>
      <c r="E505" s="4">
        <f>'Tabulation Sheet'!E505</f>
        <v>0</v>
      </c>
      <c r="F505" s="4">
        <f>'Tabulation Sheet'!F505</f>
        <v>0</v>
      </c>
      <c r="G505" s="69"/>
      <c r="H505" s="69"/>
      <c r="I505" s="69"/>
      <c r="J505" s="69"/>
      <c r="K505" s="5"/>
      <c r="L505" s="5"/>
      <c r="M505" s="5"/>
      <c r="N505" s="5"/>
    </row>
    <row r="506" spans="2:14" ht="15.75" customHeight="1">
      <c r="B506" s="58">
        <f>'Tabulation Sheet'!B506</f>
        <v>0</v>
      </c>
      <c r="C506" s="66">
        <f>'Tabulation Sheet'!C506</f>
        <v>0</v>
      </c>
      <c r="D506" s="4">
        <f>'Tabulation Sheet'!D506</f>
        <v>0</v>
      </c>
      <c r="E506" s="4">
        <f>'Tabulation Sheet'!E506</f>
        <v>0</v>
      </c>
      <c r="F506" s="4">
        <f>'Tabulation Sheet'!F506</f>
        <v>0</v>
      </c>
      <c r="G506" s="69"/>
      <c r="H506" s="45"/>
      <c r="I506" s="45"/>
      <c r="J506" s="45"/>
      <c r="K506" s="65"/>
      <c r="L506" s="65"/>
      <c r="M506" s="65"/>
      <c r="N506" s="65"/>
    </row>
    <row r="507" spans="2:14" ht="15.75" customHeight="1">
      <c r="D507" s="1"/>
      <c r="E507" s="2"/>
      <c r="F507" s="2"/>
      <c r="G507" s="67"/>
      <c r="H507" s="67"/>
      <c r="I507" s="67"/>
      <c r="J507" s="67"/>
      <c r="K507" s="3"/>
      <c r="L507" s="3"/>
      <c r="M507" s="3"/>
      <c r="N507" s="3"/>
    </row>
    <row r="508" spans="2:14" ht="15.75" customHeight="1">
      <c r="D508" s="1"/>
      <c r="E508" s="2"/>
      <c r="F508" s="2"/>
      <c r="G508" s="67"/>
      <c r="H508" s="67"/>
      <c r="I508" s="67"/>
      <c r="J508" s="67"/>
      <c r="K508" s="3"/>
      <c r="L508" s="3"/>
      <c r="M508" s="3"/>
      <c r="N508" s="3"/>
    </row>
    <row r="509" spans="2:14" ht="15.75" customHeight="1">
      <c r="D509" s="1"/>
      <c r="E509" s="2"/>
      <c r="F509" s="2"/>
      <c r="G509" s="67"/>
      <c r="H509" s="67"/>
      <c r="I509" s="67"/>
      <c r="J509" s="67"/>
      <c r="K509" s="3"/>
      <c r="L509" s="3"/>
      <c r="M509" s="3"/>
      <c r="N509" s="3"/>
    </row>
    <row r="510" spans="2:14" ht="15.75" customHeight="1">
      <c r="D510" s="1"/>
      <c r="E510" s="2"/>
      <c r="F510" s="2"/>
      <c r="G510" s="67"/>
      <c r="H510" s="67"/>
      <c r="I510" s="67"/>
      <c r="J510" s="67"/>
      <c r="K510" s="3"/>
      <c r="L510" s="3"/>
      <c r="M510" s="3"/>
      <c r="N510" s="3"/>
    </row>
    <row r="511" spans="2:14" ht="15.75" customHeight="1">
      <c r="D511" s="1"/>
      <c r="E511" s="2"/>
      <c r="F511" s="2"/>
      <c r="G511" s="67"/>
      <c r="H511" s="67"/>
      <c r="I511" s="67"/>
      <c r="J511" s="67"/>
      <c r="K511" s="3"/>
      <c r="L511" s="3"/>
      <c r="M511" s="3"/>
      <c r="N511" s="3"/>
    </row>
    <row r="512" spans="2:14" ht="15.75" customHeight="1">
      <c r="D512" s="1"/>
      <c r="E512" s="2"/>
      <c r="F512" s="2"/>
      <c r="G512" s="67"/>
      <c r="H512" s="67"/>
      <c r="I512" s="67"/>
      <c r="J512" s="67"/>
      <c r="K512" s="3"/>
      <c r="L512" s="3"/>
      <c r="M512" s="3"/>
      <c r="N512" s="3"/>
    </row>
    <row r="513" spans="4:14" ht="15.75" customHeight="1">
      <c r="D513" s="1"/>
      <c r="E513" s="2"/>
      <c r="F513" s="2"/>
      <c r="G513" s="67"/>
      <c r="H513" s="67"/>
      <c r="I513" s="67"/>
      <c r="J513" s="67"/>
      <c r="K513" s="3"/>
      <c r="L513" s="3"/>
      <c r="M513" s="3"/>
      <c r="N513" s="3"/>
    </row>
    <row r="514" spans="4:14" ht="15.75" customHeight="1">
      <c r="D514" s="1"/>
      <c r="E514" s="2"/>
      <c r="F514" s="2"/>
      <c r="G514" s="67"/>
      <c r="H514" s="67"/>
      <c r="I514" s="67"/>
      <c r="J514" s="67"/>
      <c r="K514" s="3"/>
      <c r="L514" s="3"/>
      <c r="M514" s="3"/>
      <c r="N514" s="3"/>
    </row>
    <row r="515" spans="4:14" ht="15.75" customHeight="1">
      <c r="D515" s="1"/>
      <c r="E515" s="2"/>
      <c r="F515" s="2"/>
      <c r="G515" s="67"/>
      <c r="H515" s="67"/>
      <c r="I515" s="67"/>
      <c r="J515" s="67"/>
      <c r="K515" s="3"/>
      <c r="L515" s="3"/>
      <c r="M515" s="3"/>
      <c r="N515" s="3"/>
    </row>
    <row r="516" spans="4:14" ht="15.75" customHeight="1">
      <c r="D516" s="1"/>
      <c r="E516" s="2"/>
      <c r="F516" s="2"/>
      <c r="G516" s="67"/>
      <c r="H516" s="67"/>
      <c r="I516" s="67"/>
      <c r="J516" s="67"/>
      <c r="K516" s="3"/>
      <c r="L516" s="3"/>
      <c r="M516" s="3"/>
      <c r="N516" s="3"/>
    </row>
    <row r="517" spans="4:14" ht="15.75" customHeight="1">
      <c r="D517" s="1"/>
      <c r="E517" s="2"/>
      <c r="F517" s="2"/>
      <c r="G517" s="67"/>
      <c r="H517" s="67"/>
      <c r="I517" s="67"/>
      <c r="J517" s="67"/>
      <c r="K517" s="3"/>
      <c r="L517" s="3"/>
      <c r="M517" s="3"/>
      <c r="N517" s="3"/>
    </row>
    <row r="518" spans="4:14" ht="15.75" customHeight="1">
      <c r="D518" s="1"/>
      <c r="E518" s="2"/>
      <c r="F518" s="2"/>
      <c r="G518" s="67"/>
      <c r="H518" s="67"/>
      <c r="I518" s="67"/>
      <c r="J518" s="67"/>
      <c r="K518" s="3"/>
      <c r="L518" s="3"/>
      <c r="M518" s="3"/>
      <c r="N518" s="3"/>
    </row>
    <row r="519" spans="4:14" ht="15.75" customHeight="1">
      <c r="D519" s="1"/>
      <c r="E519" s="2"/>
      <c r="F519" s="2"/>
      <c r="G519" s="67"/>
      <c r="H519" s="67"/>
      <c r="I519" s="67"/>
      <c r="J519" s="67"/>
      <c r="K519" s="3"/>
      <c r="L519" s="3"/>
      <c r="M519" s="3"/>
      <c r="N519" s="3"/>
    </row>
    <row r="520" spans="4:14" ht="15.75" customHeight="1">
      <c r="D520" s="1"/>
      <c r="E520" s="2"/>
      <c r="F520" s="2"/>
      <c r="G520" s="67"/>
      <c r="H520" s="67"/>
      <c r="I520" s="67"/>
      <c r="J520" s="67"/>
      <c r="K520" s="3"/>
      <c r="L520" s="3"/>
      <c r="M520" s="3"/>
      <c r="N520" s="3"/>
    </row>
    <row r="521" spans="4:14" ht="15.75" customHeight="1">
      <c r="D521" s="1"/>
      <c r="E521" s="2"/>
      <c r="F521" s="2"/>
      <c r="G521" s="67"/>
      <c r="H521" s="67"/>
      <c r="I521" s="67"/>
      <c r="J521" s="67"/>
      <c r="K521" s="3"/>
      <c r="L521" s="3"/>
      <c r="M521" s="3"/>
      <c r="N521" s="3"/>
    </row>
    <row r="522" spans="4:14" ht="15.75" customHeight="1">
      <c r="D522" s="1"/>
      <c r="E522" s="2"/>
      <c r="F522" s="2"/>
      <c r="G522" s="67"/>
      <c r="H522" s="67"/>
      <c r="I522" s="67"/>
      <c r="J522" s="67"/>
      <c r="K522" s="3"/>
      <c r="L522" s="3"/>
      <c r="M522" s="3"/>
      <c r="N522" s="3"/>
    </row>
    <row r="523" spans="4:14" ht="15.75" customHeight="1">
      <c r="D523" s="1"/>
      <c r="E523" s="2"/>
      <c r="F523" s="2"/>
      <c r="G523" s="67"/>
      <c r="H523" s="67"/>
      <c r="I523" s="67"/>
      <c r="J523" s="67"/>
      <c r="K523" s="3"/>
      <c r="L523" s="3"/>
      <c r="M523" s="3"/>
      <c r="N523" s="3"/>
    </row>
    <row r="524" spans="4:14" ht="15.75" customHeight="1">
      <c r="D524" s="1"/>
      <c r="E524" s="2"/>
      <c r="F524" s="2"/>
      <c r="G524" s="67"/>
      <c r="H524" s="67"/>
      <c r="I524" s="67"/>
      <c r="J524" s="67"/>
      <c r="K524" s="3"/>
      <c r="L524" s="3"/>
      <c r="M524" s="3"/>
      <c r="N524" s="3"/>
    </row>
    <row r="525" spans="4:14" ht="15.75" customHeight="1">
      <c r="D525" s="1"/>
      <c r="E525" s="2"/>
      <c r="F525" s="2"/>
      <c r="G525" s="67"/>
      <c r="H525" s="67"/>
      <c r="I525" s="67"/>
      <c r="J525" s="67"/>
      <c r="K525" s="3"/>
      <c r="L525" s="3"/>
      <c r="M525" s="3"/>
      <c r="N525" s="3"/>
    </row>
    <row r="526" spans="4:14" ht="15.75" customHeight="1">
      <c r="D526" s="1"/>
      <c r="E526" s="2"/>
      <c r="F526" s="2"/>
      <c r="G526" s="67"/>
      <c r="H526" s="67"/>
      <c r="I526" s="67"/>
      <c r="J526" s="67"/>
      <c r="K526" s="3"/>
      <c r="L526" s="3"/>
      <c r="M526" s="3"/>
      <c r="N526" s="3"/>
    </row>
    <row r="527" spans="4:14" ht="15.75" customHeight="1">
      <c r="D527" s="1"/>
      <c r="E527" s="2"/>
      <c r="F527" s="2"/>
      <c r="G527" s="67"/>
      <c r="H527" s="67"/>
      <c r="I527" s="67"/>
      <c r="J527" s="67"/>
      <c r="K527" s="3"/>
      <c r="L527" s="3"/>
      <c r="M527" s="3"/>
      <c r="N527" s="3"/>
    </row>
    <row r="528" spans="4:14" ht="15.75" customHeight="1">
      <c r="D528" s="1"/>
      <c r="E528" s="2"/>
      <c r="F528" s="2"/>
      <c r="G528" s="67"/>
      <c r="H528" s="67"/>
      <c r="I528" s="67"/>
      <c r="J528" s="67"/>
      <c r="K528" s="3"/>
      <c r="L528" s="3"/>
      <c r="M528" s="3"/>
      <c r="N528" s="3"/>
    </row>
    <row r="529" spans="4:14" ht="15.75" customHeight="1">
      <c r="D529" s="1"/>
      <c r="E529" s="2"/>
      <c r="F529" s="2"/>
      <c r="G529" s="67"/>
      <c r="H529" s="67"/>
      <c r="I529" s="67"/>
      <c r="J529" s="67"/>
      <c r="K529" s="3"/>
      <c r="L529" s="3"/>
      <c r="M529" s="3"/>
      <c r="N529" s="3"/>
    </row>
    <row r="530" spans="4:14" ht="15.75" customHeight="1">
      <c r="D530" s="1"/>
      <c r="E530" s="2"/>
      <c r="F530" s="2"/>
      <c r="G530" s="67"/>
      <c r="H530" s="67"/>
      <c r="I530" s="67"/>
      <c r="J530" s="67"/>
      <c r="K530" s="3"/>
      <c r="L530" s="3"/>
      <c r="M530" s="3"/>
      <c r="N530" s="3"/>
    </row>
    <row r="531" spans="4:14" ht="15.75" customHeight="1">
      <c r="D531" s="1"/>
      <c r="E531" s="2"/>
      <c r="F531" s="2"/>
      <c r="G531" s="67"/>
      <c r="H531" s="67"/>
      <c r="I531" s="67"/>
      <c r="J531" s="67"/>
      <c r="K531" s="3"/>
      <c r="L531" s="3"/>
      <c r="M531" s="3"/>
      <c r="N531" s="3"/>
    </row>
    <row r="532" spans="4:14" ht="15.75" customHeight="1">
      <c r="D532" s="1"/>
      <c r="E532" s="2"/>
      <c r="F532" s="2"/>
      <c r="G532" s="67"/>
      <c r="H532" s="67"/>
      <c r="I532" s="67"/>
      <c r="J532" s="67"/>
      <c r="K532" s="3"/>
      <c r="L532" s="3"/>
      <c r="M532" s="3"/>
      <c r="N532" s="3"/>
    </row>
    <row r="533" spans="4:14" ht="15.75" customHeight="1">
      <c r="D533" s="1"/>
      <c r="E533" s="2"/>
      <c r="F533" s="2"/>
      <c r="G533" s="67"/>
      <c r="H533" s="67"/>
      <c r="I533" s="67"/>
      <c r="J533" s="67"/>
      <c r="K533" s="3"/>
      <c r="L533" s="3"/>
      <c r="M533" s="3"/>
      <c r="N533" s="3"/>
    </row>
    <row r="534" spans="4:14" ht="15.75" customHeight="1">
      <c r="D534" s="1"/>
      <c r="E534" s="2"/>
      <c r="F534" s="2"/>
      <c r="G534" s="67"/>
      <c r="H534" s="67"/>
      <c r="I534" s="67"/>
      <c r="J534" s="67"/>
      <c r="K534" s="3"/>
      <c r="L534" s="3"/>
      <c r="M534" s="3"/>
      <c r="N534" s="3"/>
    </row>
    <row r="535" spans="4:14" ht="15.75" customHeight="1">
      <c r="D535" s="1"/>
      <c r="E535" s="2"/>
      <c r="F535" s="2"/>
      <c r="G535" s="67"/>
      <c r="H535" s="67"/>
      <c r="I535" s="67"/>
      <c r="J535" s="67"/>
      <c r="K535" s="3"/>
      <c r="L535" s="3"/>
      <c r="M535" s="3"/>
      <c r="N535" s="3"/>
    </row>
    <row r="536" spans="4:14" ht="15.75" customHeight="1">
      <c r="D536" s="1"/>
      <c r="E536" s="2"/>
      <c r="F536" s="2"/>
      <c r="G536" s="67"/>
      <c r="H536" s="67"/>
      <c r="I536" s="67"/>
      <c r="J536" s="67"/>
      <c r="K536" s="3"/>
      <c r="L536" s="3"/>
      <c r="M536" s="3"/>
      <c r="N536" s="3"/>
    </row>
    <row r="537" spans="4:14" ht="15.75" customHeight="1">
      <c r="D537" s="1"/>
      <c r="E537" s="2"/>
      <c r="F537" s="2"/>
      <c r="G537" s="67"/>
      <c r="H537" s="67"/>
      <c r="I537" s="67"/>
      <c r="J537" s="67"/>
      <c r="K537" s="3"/>
      <c r="L537" s="3"/>
      <c r="M537" s="3"/>
      <c r="N537" s="3"/>
    </row>
    <row r="538" spans="4:14" ht="15.75" customHeight="1">
      <c r="D538" s="1"/>
      <c r="E538" s="2"/>
      <c r="F538" s="2"/>
      <c r="G538" s="67"/>
      <c r="H538" s="67"/>
      <c r="I538" s="67"/>
      <c r="J538" s="67"/>
      <c r="K538" s="3"/>
      <c r="L538" s="3"/>
      <c r="M538" s="3"/>
      <c r="N538" s="3"/>
    </row>
    <row r="539" spans="4:14" ht="15.75" customHeight="1">
      <c r="D539" s="1"/>
      <c r="E539" s="2"/>
      <c r="F539" s="2"/>
      <c r="G539" s="67"/>
      <c r="H539" s="67"/>
      <c r="I539" s="67"/>
      <c r="J539" s="67"/>
      <c r="K539" s="3"/>
      <c r="L539" s="3"/>
      <c r="M539" s="3"/>
      <c r="N539" s="3"/>
    </row>
    <row r="540" spans="4:14" ht="15.75" customHeight="1">
      <c r="D540" s="1"/>
      <c r="E540" s="2"/>
      <c r="F540" s="2"/>
      <c r="G540" s="67"/>
      <c r="H540" s="67"/>
      <c r="I540" s="67"/>
      <c r="J540" s="67"/>
      <c r="K540" s="3"/>
      <c r="L540" s="3"/>
      <c r="M540" s="3"/>
      <c r="N540" s="3"/>
    </row>
    <row r="541" spans="4:14" ht="15.75" customHeight="1">
      <c r="D541" s="1"/>
      <c r="E541" s="2"/>
      <c r="F541" s="2"/>
      <c r="G541" s="67"/>
      <c r="H541" s="67"/>
      <c r="I541" s="67"/>
      <c r="J541" s="67"/>
      <c r="K541" s="3"/>
      <c r="L541" s="3"/>
      <c r="M541" s="3"/>
      <c r="N541" s="3"/>
    </row>
    <row r="542" spans="4:14" ht="15.75" customHeight="1">
      <c r="D542" s="1"/>
      <c r="E542" s="2"/>
      <c r="F542" s="2"/>
      <c r="G542" s="67"/>
      <c r="H542" s="67"/>
      <c r="I542" s="67"/>
      <c r="J542" s="67"/>
      <c r="K542" s="3"/>
      <c r="L542" s="3"/>
      <c r="M542" s="3"/>
      <c r="N542" s="3"/>
    </row>
    <row r="543" spans="4:14" ht="15.75" customHeight="1">
      <c r="D543" s="1"/>
      <c r="E543" s="2"/>
      <c r="F543" s="2"/>
      <c r="G543" s="67"/>
      <c r="H543" s="67"/>
      <c r="I543" s="67"/>
      <c r="J543" s="67"/>
      <c r="K543" s="3"/>
      <c r="L543" s="3"/>
      <c r="M543" s="3"/>
      <c r="N543" s="3"/>
    </row>
    <row r="544" spans="4:14" ht="15.75" customHeight="1">
      <c r="D544" s="1"/>
      <c r="E544" s="2"/>
      <c r="F544" s="2"/>
      <c r="G544" s="67"/>
      <c r="H544" s="67"/>
      <c r="I544" s="67"/>
      <c r="J544" s="67"/>
      <c r="K544" s="3"/>
      <c r="L544" s="3"/>
      <c r="M544" s="3"/>
      <c r="N544" s="3"/>
    </row>
    <row r="545" spans="4:14" ht="15.75" customHeight="1">
      <c r="D545" s="1"/>
      <c r="E545" s="2"/>
      <c r="F545" s="2"/>
      <c r="G545" s="67"/>
      <c r="H545" s="67"/>
      <c r="I545" s="67"/>
      <c r="J545" s="67"/>
      <c r="K545" s="3"/>
      <c r="L545" s="3"/>
      <c r="M545" s="3"/>
      <c r="N545" s="3"/>
    </row>
    <row r="546" spans="4:14" ht="15.75" customHeight="1">
      <c r="D546" s="1"/>
      <c r="E546" s="2"/>
      <c r="F546" s="2"/>
      <c r="G546" s="67"/>
      <c r="H546" s="67"/>
      <c r="I546" s="67"/>
      <c r="J546" s="67"/>
      <c r="K546" s="3"/>
      <c r="L546" s="3"/>
      <c r="M546" s="3"/>
      <c r="N546" s="3"/>
    </row>
    <row r="547" spans="4:14" ht="15.75" customHeight="1">
      <c r="D547" s="1"/>
      <c r="E547" s="2"/>
      <c r="F547" s="2"/>
      <c r="G547" s="67"/>
      <c r="H547" s="67"/>
      <c r="I547" s="67"/>
      <c r="J547" s="67"/>
      <c r="K547" s="3"/>
      <c r="L547" s="3"/>
      <c r="M547" s="3"/>
      <c r="N547" s="3"/>
    </row>
    <row r="548" spans="4:14" ht="15.75" customHeight="1">
      <c r="D548" s="1"/>
      <c r="E548" s="2"/>
      <c r="F548" s="2"/>
      <c r="G548" s="67"/>
      <c r="H548" s="67"/>
      <c r="I548" s="67"/>
      <c r="J548" s="67"/>
      <c r="K548" s="3"/>
      <c r="L548" s="3"/>
      <c r="M548" s="3"/>
      <c r="N548" s="3"/>
    </row>
    <row r="549" spans="4:14" ht="15.75" customHeight="1">
      <c r="D549" s="1"/>
      <c r="E549" s="2"/>
      <c r="F549" s="2"/>
      <c r="G549" s="67"/>
      <c r="H549" s="67"/>
      <c r="I549" s="67"/>
      <c r="J549" s="67"/>
      <c r="K549" s="3"/>
      <c r="L549" s="3"/>
      <c r="M549" s="3"/>
      <c r="N549" s="3"/>
    </row>
    <row r="550" spans="4:14" ht="15.75" customHeight="1">
      <c r="D550" s="1"/>
      <c r="E550" s="2"/>
      <c r="F550" s="2"/>
      <c r="G550" s="67"/>
      <c r="H550" s="67"/>
      <c r="I550" s="67"/>
      <c r="J550" s="67"/>
      <c r="K550" s="3"/>
      <c r="L550" s="3"/>
      <c r="M550" s="3"/>
      <c r="N550" s="3"/>
    </row>
    <row r="551" spans="4:14" ht="15.75" customHeight="1">
      <c r="D551" s="1"/>
      <c r="E551" s="2"/>
      <c r="F551" s="2"/>
      <c r="G551" s="67"/>
      <c r="H551" s="67"/>
      <c r="I551" s="67"/>
      <c r="J551" s="67"/>
      <c r="K551" s="3"/>
      <c r="L551" s="3"/>
      <c r="M551" s="3"/>
      <c r="N551" s="3"/>
    </row>
    <row r="552" spans="4:14" ht="15.75" customHeight="1">
      <c r="D552" s="1"/>
      <c r="E552" s="2"/>
      <c r="F552" s="2"/>
      <c r="G552" s="67"/>
      <c r="H552" s="67"/>
      <c r="I552" s="67"/>
      <c r="J552" s="67"/>
      <c r="K552" s="3"/>
      <c r="L552" s="3"/>
      <c r="M552" s="3"/>
      <c r="N552" s="3"/>
    </row>
    <row r="553" spans="4:14" ht="15.75" customHeight="1">
      <c r="D553" s="1"/>
      <c r="E553" s="2"/>
      <c r="F553" s="2"/>
      <c r="G553" s="67"/>
      <c r="H553" s="67"/>
      <c r="I553" s="67"/>
      <c r="J553" s="67"/>
      <c r="K553" s="3"/>
      <c r="L553" s="3"/>
      <c r="M553" s="3"/>
      <c r="N553" s="3"/>
    </row>
    <row r="554" spans="4:14" ht="15.75" customHeight="1">
      <c r="D554" s="1"/>
      <c r="E554" s="2"/>
      <c r="F554" s="2"/>
      <c r="G554" s="67"/>
      <c r="H554" s="67"/>
      <c r="I554" s="67"/>
      <c r="J554" s="67"/>
      <c r="K554" s="3"/>
      <c r="L554" s="3"/>
      <c r="M554" s="3"/>
      <c r="N554" s="3"/>
    </row>
    <row r="555" spans="4:14" ht="15.75" customHeight="1">
      <c r="D555" s="1"/>
      <c r="E555" s="2"/>
      <c r="F555" s="2"/>
      <c r="G555" s="67"/>
      <c r="H555" s="67"/>
      <c r="I555" s="67"/>
      <c r="J555" s="67"/>
      <c r="K555" s="3"/>
      <c r="L555" s="3"/>
      <c r="M555" s="3"/>
      <c r="N555" s="3"/>
    </row>
    <row r="556" spans="4:14" ht="15.75" customHeight="1">
      <c r="D556" s="1"/>
      <c r="E556" s="2"/>
      <c r="F556" s="2"/>
      <c r="G556" s="67"/>
      <c r="H556" s="67"/>
      <c r="I556" s="67"/>
      <c r="J556" s="67"/>
      <c r="K556" s="3"/>
      <c r="L556" s="3"/>
      <c r="M556" s="3"/>
      <c r="N556" s="3"/>
    </row>
    <row r="557" spans="4:14" ht="15.75" customHeight="1">
      <c r="D557" s="1"/>
      <c r="E557" s="2"/>
      <c r="F557" s="2"/>
      <c r="G557" s="67"/>
      <c r="H557" s="67"/>
      <c r="I557" s="67"/>
      <c r="J557" s="67"/>
      <c r="K557" s="3"/>
      <c r="L557" s="3"/>
      <c r="M557" s="3"/>
      <c r="N557" s="3"/>
    </row>
    <row r="558" spans="4:14" ht="15.75" customHeight="1">
      <c r="D558" s="1"/>
      <c r="E558" s="2"/>
      <c r="F558" s="2"/>
      <c r="G558" s="67"/>
      <c r="H558" s="67"/>
      <c r="I558" s="67"/>
      <c r="J558" s="67"/>
      <c r="K558" s="3"/>
      <c r="L558" s="3"/>
      <c r="M558" s="3"/>
      <c r="N558" s="3"/>
    </row>
    <row r="559" spans="4:14" ht="15.75" customHeight="1">
      <c r="D559" s="1"/>
      <c r="E559" s="2"/>
      <c r="F559" s="2"/>
      <c r="G559" s="67"/>
      <c r="H559" s="67"/>
      <c r="I559" s="67"/>
      <c r="J559" s="67"/>
      <c r="K559" s="3"/>
      <c r="L559" s="3"/>
      <c r="M559" s="3"/>
      <c r="N559" s="3"/>
    </row>
    <row r="560" spans="4:14" ht="15.75" customHeight="1">
      <c r="D560" s="1"/>
      <c r="E560" s="2"/>
      <c r="F560" s="2"/>
      <c r="G560" s="67"/>
      <c r="H560" s="67"/>
      <c r="I560" s="67"/>
      <c r="J560" s="67"/>
      <c r="K560" s="3"/>
      <c r="L560" s="3"/>
      <c r="M560" s="3"/>
      <c r="N560" s="3"/>
    </row>
    <row r="561" spans="4:14" ht="15.75" customHeight="1">
      <c r="D561" s="1"/>
      <c r="E561" s="2"/>
      <c r="F561" s="2"/>
      <c r="G561" s="67"/>
      <c r="H561" s="67"/>
      <c r="I561" s="67"/>
      <c r="J561" s="67"/>
      <c r="K561" s="3"/>
      <c r="L561" s="3"/>
      <c r="M561" s="3"/>
      <c r="N561" s="3"/>
    </row>
    <row r="562" spans="4:14" ht="15.75" customHeight="1">
      <c r="D562" s="1"/>
      <c r="E562" s="2"/>
      <c r="F562" s="2"/>
      <c r="G562" s="67"/>
      <c r="H562" s="67"/>
      <c r="I562" s="67"/>
      <c r="J562" s="67"/>
      <c r="K562" s="3"/>
      <c r="L562" s="3"/>
      <c r="M562" s="3"/>
      <c r="N562" s="3"/>
    </row>
    <row r="563" spans="4:14" ht="15.75" customHeight="1">
      <c r="D563" s="1"/>
      <c r="E563" s="2"/>
      <c r="F563" s="2"/>
      <c r="G563" s="67"/>
      <c r="H563" s="67"/>
      <c r="I563" s="67"/>
      <c r="J563" s="67"/>
      <c r="K563" s="3"/>
      <c r="L563" s="3"/>
      <c r="M563" s="3"/>
      <c r="N563" s="3"/>
    </row>
    <row r="564" spans="4:14" ht="15.75" customHeight="1">
      <c r="D564" s="1"/>
      <c r="E564" s="2"/>
      <c r="F564" s="2"/>
      <c r="G564" s="67"/>
      <c r="H564" s="67"/>
      <c r="I564" s="67"/>
      <c r="J564" s="67"/>
      <c r="K564" s="3"/>
      <c r="L564" s="3"/>
      <c r="M564" s="3"/>
      <c r="N564" s="3"/>
    </row>
    <row r="565" spans="4:14" ht="15.75" customHeight="1">
      <c r="D565" s="1"/>
      <c r="E565" s="2"/>
      <c r="F565" s="2"/>
      <c r="G565" s="67"/>
      <c r="H565" s="67"/>
      <c r="I565" s="67"/>
      <c r="J565" s="67"/>
      <c r="K565" s="3"/>
      <c r="L565" s="3"/>
      <c r="M565" s="3"/>
      <c r="N565" s="3"/>
    </row>
    <row r="566" spans="4:14" ht="15.75" customHeight="1">
      <c r="D566" s="1"/>
      <c r="E566" s="2"/>
      <c r="F566" s="2"/>
      <c r="G566" s="67"/>
      <c r="H566" s="67"/>
      <c r="I566" s="67"/>
      <c r="J566" s="67"/>
      <c r="K566" s="3"/>
      <c r="L566" s="3"/>
      <c r="M566" s="3"/>
      <c r="N566" s="3"/>
    </row>
    <row r="567" spans="4:14" ht="15.75" customHeight="1">
      <c r="D567" s="1"/>
      <c r="E567" s="2"/>
      <c r="F567" s="2"/>
      <c r="G567" s="67"/>
      <c r="H567" s="67"/>
      <c r="I567" s="67"/>
      <c r="J567" s="67"/>
      <c r="K567" s="3"/>
      <c r="L567" s="3"/>
      <c r="M567" s="3"/>
      <c r="N567" s="3"/>
    </row>
    <row r="568" spans="4:14" ht="15.75" customHeight="1">
      <c r="D568" s="1"/>
      <c r="E568" s="2"/>
      <c r="F568" s="2"/>
      <c r="G568" s="67"/>
      <c r="H568" s="67"/>
      <c r="I568" s="67"/>
      <c r="J568" s="67"/>
      <c r="K568" s="3"/>
      <c r="L568" s="3"/>
      <c r="M568" s="3"/>
      <c r="N568" s="3"/>
    </row>
    <row r="569" spans="4:14" ht="15.75" customHeight="1">
      <c r="D569" s="1"/>
      <c r="E569" s="2"/>
      <c r="F569" s="2"/>
      <c r="G569" s="67"/>
      <c r="H569" s="67"/>
      <c r="I569" s="67"/>
      <c r="J569" s="67"/>
      <c r="K569" s="3"/>
      <c r="L569" s="3"/>
      <c r="M569" s="3"/>
      <c r="N569" s="3"/>
    </row>
    <row r="570" spans="4:14" ht="15.75" customHeight="1">
      <c r="D570" s="1"/>
      <c r="E570" s="2"/>
      <c r="F570" s="2"/>
      <c r="G570" s="67"/>
      <c r="H570" s="67"/>
      <c r="I570" s="67"/>
      <c r="J570" s="67"/>
      <c r="K570" s="3"/>
      <c r="L570" s="3"/>
      <c r="M570" s="3"/>
      <c r="N570" s="3"/>
    </row>
    <row r="571" spans="4:14" ht="15.75" customHeight="1">
      <c r="D571" s="1"/>
      <c r="E571" s="2"/>
      <c r="F571" s="2"/>
      <c r="G571" s="67"/>
      <c r="H571" s="67"/>
      <c r="I571" s="67"/>
      <c r="J571" s="67"/>
      <c r="K571" s="3"/>
      <c r="L571" s="3"/>
      <c r="M571" s="3"/>
      <c r="N571" s="3"/>
    </row>
    <row r="572" spans="4:14" ht="15.75" customHeight="1">
      <c r="D572" s="1"/>
      <c r="E572" s="2"/>
      <c r="F572" s="2"/>
      <c r="G572" s="67"/>
      <c r="H572" s="67"/>
      <c r="I572" s="67"/>
      <c r="J572" s="67"/>
      <c r="K572" s="3"/>
      <c r="L572" s="3"/>
      <c r="M572" s="3"/>
      <c r="N572" s="3"/>
    </row>
    <row r="573" spans="4:14" ht="15.75" customHeight="1">
      <c r="D573" s="1"/>
      <c r="E573" s="2"/>
      <c r="F573" s="2"/>
      <c r="G573" s="67"/>
      <c r="H573" s="67"/>
      <c r="I573" s="67"/>
      <c r="J573" s="67"/>
      <c r="K573" s="3"/>
      <c r="L573" s="3"/>
      <c r="M573" s="3"/>
      <c r="N573" s="3"/>
    </row>
    <row r="574" spans="4:14" ht="15.75" customHeight="1">
      <c r="D574" s="1"/>
      <c r="E574" s="2"/>
      <c r="F574" s="2"/>
      <c r="G574" s="67"/>
      <c r="H574" s="67"/>
      <c r="I574" s="67"/>
      <c r="J574" s="67"/>
      <c r="K574" s="3"/>
      <c r="L574" s="3"/>
      <c r="M574" s="3"/>
      <c r="N574" s="3"/>
    </row>
    <row r="575" spans="4:14" ht="15.75" customHeight="1">
      <c r="D575" s="1"/>
      <c r="E575" s="2"/>
      <c r="F575" s="2"/>
      <c r="G575" s="67"/>
      <c r="H575" s="67"/>
      <c r="I575" s="67"/>
      <c r="J575" s="67"/>
      <c r="K575" s="3"/>
      <c r="L575" s="3"/>
      <c r="M575" s="3"/>
      <c r="N575" s="3"/>
    </row>
    <row r="576" spans="4:14" ht="15.75" customHeight="1">
      <c r="D576" s="1"/>
      <c r="E576" s="2"/>
      <c r="F576" s="2"/>
      <c r="G576" s="67"/>
      <c r="H576" s="67"/>
      <c r="I576" s="67"/>
      <c r="J576" s="67"/>
      <c r="K576" s="3"/>
      <c r="L576" s="3"/>
      <c r="M576" s="3"/>
      <c r="N576" s="3"/>
    </row>
    <row r="577" spans="4:14" ht="15.75" customHeight="1">
      <c r="D577" s="1"/>
      <c r="E577" s="2"/>
      <c r="F577" s="2"/>
      <c r="G577" s="67"/>
      <c r="H577" s="67"/>
      <c r="I577" s="67"/>
      <c r="J577" s="67"/>
      <c r="K577" s="3"/>
      <c r="L577" s="3"/>
      <c r="M577" s="3"/>
      <c r="N577" s="3"/>
    </row>
    <row r="578" spans="4:14" ht="15.75" customHeight="1">
      <c r="D578" s="1"/>
      <c r="E578" s="2"/>
      <c r="F578" s="2"/>
      <c r="G578" s="67"/>
      <c r="H578" s="67"/>
      <c r="I578" s="67"/>
      <c r="J578" s="67"/>
      <c r="K578" s="3"/>
      <c r="L578" s="3"/>
      <c r="M578" s="3"/>
      <c r="N578" s="3"/>
    </row>
    <row r="579" spans="4:14" ht="15.75" customHeight="1">
      <c r="D579" s="1"/>
      <c r="E579" s="2"/>
      <c r="F579" s="2"/>
      <c r="G579" s="67"/>
      <c r="H579" s="67"/>
      <c r="I579" s="67"/>
      <c r="J579" s="67"/>
      <c r="K579" s="3"/>
      <c r="L579" s="3"/>
      <c r="M579" s="3"/>
      <c r="N579" s="3"/>
    </row>
    <row r="580" spans="4:14" ht="15.75" customHeight="1">
      <c r="D580" s="1"/>
      <c r="E580" s="2"/>
      <c r="F580" s="2"/>
      <c r="G580" s="67"/>
      <c r="H580" s="67"/>
      <c r="I580" s="67"/>
      <c r="J580" s="67"/>
      <c r="K580" s="3"/>
      <c r="L580" s="3"/>
      <c r="M580" s="3"/>
      <c r="N580" s="3"/>
    </row>
    <row r="581" spans="4:14" ht="15.75" customHeight="1">
      <c r="D581" s="1"/>
      <c r="E581" s="2"/>
      <c r="F581" s="2"/>
      <c r="G581" s="67"/>
      <c r="H581" s="67"/>
      <c r="I581" s="67"/>
      <c r="J581" s="67"/>
      <c r="K581" s="3"/>
      <c r="L581" s="3"/>
      <c r="M581" s="3"/>
      <c r="N581" s="3"/>
    </row>
    <row r="582" spans="4:14" ht="15.75" customHeight="1">
      <c r="D582" s="1"/>
      <c r="E582" s="2"/>
      <c r="F582" s="2"/>
      <c r="G582" s="67"/>
      <c r="H582" s="67"/>
      <c r="I582" s="67"/>
      <c r="J582" s="67"/>
      <c r="K582" s="3"/>
      <c r="L582" s="3"/>
      <c r="M582" s="3"/>
      <c r="N582" s="3"/>
    </row>
    <row r="583" spans="4:14" ht="15.75" customHeight="1">
      <c r="D583" s="1"/>
      <c r="E583" s="2"/>
      <c r="F583" s="2"/>
      <c r="G583" s="67"/>
      <c r="H583" s="67"/>
      <c r="I583" s="67"/>
      <c r="J583" s="67"/>
      <c r="K583" s="3"/>
      <c r="L583" s="3"/>
      <c r="M583" s="3"/>
      <c r="N583" s="3"/>
    </row>
    <row r="584" spans="4:14" ht="15.75" customHeight="1">
      <c r="D584" s="1"/>
      <c r="E584" s="2"/>
      <c r="F584" s="2"/>
      <c r="G584" s="67"/>
      <c r="H584" s="67"/>
      <c r="I584" s="67"/>
      <c r="J584" s="67"/>
      <c r="K584" s="3"/>
      <c r="L584" s="3"/>
      <c r="M584" s="3"/>
      <c r="N584" s="3"/>
    </row>
    <row r="585" spans="4:14" ht="15.75" customHeight="1">
      <c r="D585" s="1"/>
      <c r="E585" s="2"/>
      <c r="F585" s="2"/>
      <c r="G585" s="67"/>
      <c r="H585" s="67"/>
      <c r="I585" s="67"/>
      <c r="J585" s="67"/>
      <c r="K585" s="3"/>
      <c r="L585" s="3"/>
      <c r="M585" s="3"/>
      <c r="N585" s="3"/>
    </row>
    <row r="586" spans="4:14" ht="15.75" customHeight="1">
      <c r="D586" s="1"/>
      <c r="E586" s="2"/>
      <c r="F586" s="2"/>
      <c r="G586" s="67"/>
      <c r="H586" s="67"/>
      <c r="I586" s="67"/>
      <c r="J586" s="67"/>
      <c r="K586" s="3"/>
      <c r="L586" s="3"/>
      <c r="M586" s="3"/>
      <c r="N586" s="3"/>
    </row>
    <row r="587" spans="4:14" ht="15.75" customHeight="1">
      <c r="D587" s="1"/>
      <c r="E587" s="2"/>
      <c r="F587" s="2"/>
      <c r="G587" s="67"/>
      <c r="H587" s="67"/>
      <c r="I587" s="67"/>
      <c r="J587" s="67"/>
      <c r="K587" s="3"/>
      <c r="L587" s="3"/>
      <c r="M587" s="3"/>
      <c r="N587" s="3"/>
    </row>
    <row r="588" spans="4:14" ht="15.75" customHeight="1">
      <c r="D588" s="1"/>
      <c r="E588" s="2"/>
      <c r="F588" s="2"/>
      <c r="G588" s="67"/>
      <c r="H588" s="67"/>
      <c r="I588" s="67"/>
      <c r="J588" s="67"/>
      <c r="K588" s="3"/>
      <c r="L588" s="3"/>
      <c r="M588" s="3"/>
      <c r="N588" s="3"/>
    </row>
    <row r="589" spans="4:14" ht="15.75" customHeight="1">
      <c r="D589" s="1"/>
      <c r="E589" s="2"/>
      <c r="F589" s="2"/>
      <c r="G589" s="67"/>
      <c r="H589" s="67"/>
      <c r="I589" s="67"/>
      <c r="J589" s="67"/>
      <c r="K589" s="3"/>
      <c r="L589" s="3"/>
      <c r="M589" s="3"/>
      <c r="N589" s="3"/>
    </row>
    <row r="590" spans="4:14" ht="15.75" customHeight="1">
      <c r="D590" s="1"/>
      <c r="E590" s="2"/>
      <c r="F590" s="2"/>
      <c r="G590" s="67"/>
      <c r="H590" s="67"/>
      <c r="I590" s="67"/>
      <c r="J590" s="67"/>
      <c r="K590" s="3"/>
      <c r="L590" s="3"/>
      <c r="M590" s="3"/>
      <c r="N590" s="3"/>
    </row>
    <row r="591" spans="4:14" ht="15.75" customHeight="1">
      <c r="D591" s="1"/>
      <c r="E591" s="2"/>
      <c r="F591" s="2"/>
      <c r="G591" s="67"/>
      <c r="H591" s="67"/>
      <c r="I591" s="67"/>
      <c r="J591" s="67"/>
      <c r="K591" s="3"/>
      <c r="L591" s="3"/>
      <c r="M591" s="3"/>
      <c r="N591" s="3"/>
    </row>
    <row r="592" spans="4:14" ht="15.75" customHeight="1">
      <c r="D592" s="1"/>
      <c r="E592" s="2"/>
      <c r="F592" s="2"/>
      <c r="G592" s="67"/>
      <c r="H592" s="67"/>
      <c r="I592" s="67"/>
      <c r="J592" s="67"/>
      <c r="K592" s="3"/>
      <c r="L592" s="3"/>
      <c r="M592" s="3"/>
      <c r="N592" s="3"/>
    </row>
    <row r="593" spans="4:14" ht="15.75" customHeight="1">
      <c r="D593" s="1"/>
      <c r="E593" s="2"/>
      <c r="F593" s="2"/>
      <c r="G593" s="67"/>
      <c r="H593" s="67"/>
      <c r="I593" s="67"/>
      <c r="J593" s="67"/>
      <c r="K593" s="3"/>
      <c r="L593" s="3"/>
      <c r="M593" s="3"/>
      <c r="N593" s="3"/>
    </row>
    <row r="594" spans="4:14" ht="15.75" customHeight="1">
      <c r="D594" s="1"/>
      <c r="E594" s="2"/>
      <c r="F594" s="2"/>
      <c r="G594" s="67"/>
      <c r="H594" s="67"/>
      <c r="I594" s="67"/>
      <c r="J594" s="67"/>
      <c r="K594" s="3"/>
      <c r="L594" s="3"/>
      <c r="M594" s="3"/>
      <c r="N594" s="3"/>
    </row>
    <row r="595" spans="4:14" ht="15.75" customHeight="1">
      <c r="D595" s="1"/>
      <c r="E595" s="2"/>
      <c r="F595" s="2"/>
      <c r="G595" s="67"/>
      <c r="H595" s="67"/>
      <c r="I595" s="67"/>
      <c r="J595" s="67"/>
      <c r="K595" s="3"/>
      <c r="L595" s="3"/>
      <c r="M595" s="3"/>
      <c r="N595" s="3"/>
    </row>
    <row r="596" spans="4:14" ht="15.75" customHeight="1">
      <c r="D596" s="1"/>
      <c r="E596" s="2"/>
      <c r="F596" s="2"/>
      <c r="G596" s="67"/>
      <c r="H596" s="67"/>
      <c r="I596" s="67"/>
      <c r="J596" s="67"/>
      <c r="K596" s="3"/>
      <c r="L596" s="3"/>
      <c r="M596" s="3"/>
      <c r="N596" s="3"/>
    </row>
    <row r="597" spans="4:14" ht="15.75" customHeight="1">
      <c r="D597" s="1"/>
      <c r="E597" s="2"/>
      <c r="F597" s="2"/>
      <c r="G597" s="67"/>
      <c r="H597" s="67"/>
      <c r="I597" s="67"/>
      <c r="J597" s="67"/>
      <c r="K597" s="3"/>
      <c r="L597" s="3"/>
      <c r="M597" s="3"/>
      <c r="N597" s="3"/>
    </row>
    <row r="598" spans="4:14" ht="15.75" customHeight="1">
      <c r="D598" s="1"/>
      <c r="E598" s="2"/>
      <c r="F598" s="2"/>
      <c r="G598" s="67"/>
      <c r="H598" s="67"/>
      <c r="I598" s="67"/>
      <c r="J598" s="67"/>
      <c r="K598" s="3"/>
      <c r="L598" s="3"/>
      <c r="M598" s="3"/>
      <c r="N598" s="3"/>
    </row>
    <row r="599" spans="4:14" ht="15.75" customHeight="1">
      <c r="D599" s="1"/>
      <c r="E599" s="2"/>
      <c r="F599" s="2"/>
      <c r="G599" s="67"/>
      <c r="H599" s="67"/>
      <c r="I599" s="67"/>
      <c r="J599" s="67"/>
      <c r="K599" s="3"/>
      <c r="L599" s="3"/>
      <c r="M599" s="3"/>
      <c r="N599" s="3"/>
    </row>
    <row r="600" spans="4:14" ht="15.75" customHeight="1">
      <c r="D600" s="1"/>
      <c r="E600" s="2"/>
      <c r="F600" s="2"/>
      <c r="G600" s="67"/>
      <c r="H600" s="67"/>
      <c r="I600" s="67"/>
      <c r="J600" s="67"/>
      <c r="K600" s="3"/>
      <c r="L600" s="3"/>
      <c r="M600" s="3"/>
      <c r="N600" s="3"/>
    </row>
    <row r="601" spans="4:14" ht="15.75" customHeight="1">
      <c r="D601" s="1"/>
      <c r="E601" s="2"/>
      <c r="F601" s="2"/>
      <c r="G601" s="67"/>
      <c r="H601" s="67"/>
      <c r="I601" s="67"/>
      <c r="J601" s="67"/>
      <c r="K601" s="3"/>
      <c r="L601" s="3"/>
      <c r="M601" s="3"/>
      <c r="N601" s="3"/>
    </row>
    <row r="602" spans="4:14" ht="15.75" customHeight="1">
      <c r="D602" s="1"/>
      <c r="E602" s="2"/>
      <c r="F602" s="2"/>
      <c r="G602" s="67"/>
      <c r="H602" s="67"/>
      <c r="I602" s="67"/>
      <c r="J602" s="67"/>
      <c r="K602" s="3"/>
      <c r="L602" s="3"/>
      <c r="M602" s="3"/>
      <c r="N602" s="3"/>
    </row>
    <row r="603" spans="4:14" ht="15.75" customHeight="1">
      <c r="D603" s="1"/>
      <c r="E603" s="2"/>
      <c r="F603" s="2"/>
      <c r="G603" s="67"/>
      <c r="H603" s="67"/>
      <c r="I603" s="67"/>
      <c r="J603" s="67"/>
      <c r="K603" s="3"/>
      <c r="L603" s="3"/>
      <c r="M603" s="3"/>
      <c r="N603" s="3"/>
    </row>
    <row r="604" spans="4:14" ht="15.75" customHeight="1">
      <c r="D604" s="1"/>
      <c r="E604" s="2"/>
      <c r="F604" s="2"/>
      <c r="G604" s="67"/>
      <c r="H604" s="67"/>
      <c r="I604" s="67"/>
      <c r="J604" s="67"/>
      <c r="K604" s="3"/>
      <c r="L604" s="3"/>
      <c r="M604" s="3"/>
      <c r="N604" s="3"/>
    </row>
    <row r="605" spans="4:14" ht="15.75" customHeight="1">
      <c r="D605" s="1"/>
      <c r="E605" s="2"/>
      <c r="F605" s="2"/>
      <c r="G605" s="67"/>
      <c r="H605" s="67"/>
      <c r="I605" s="67"/>
      <c r="J605" s="67"/>
      <c r="K605" s="3"/>
      <c r="L605" s="3"/>
      <c r="M605" s="3"/>
      <c r="N605" s="3"/>
    </row>
    <row r="606" spans="4:14" ht="15.75" customHeight="1">
      <c r="D606" s="1"/>
      <c r="E606" s="2"/>
      <c r="F606" s="2"/>
      <c r="G606" s="67"/>
      <c r="H606" s="67"/>
      <c r="I606" s="67"/>
      <c r="J606" s="67"/>
      <c r="K606" s="3"/>
      <c r="L606" s="3"/>
      <c r="M606" s="3"/>
      <c r="N606" s="3"/>
    </row>
    <row r="607" spans="4:14" ht="15.75" customHeight="1">
      <c r="D607" s="1"/>
      <c r="E607" s="2"/>
      <c r="F607" s="2"/>
      <c r="G607" s="67"/>
      <c r="H607" s="67"/>
      <c r="I607" s="67"/>
      <c r="J607" s="67"/>
      <c r="K607" s="3"/>
      <c r="L607" s="3"/>
      <c r="M607" s="3"/>
      <c r="N607" s="3"/>
    </row>
    <row r="608" spans="4:14" ht="15.75" customHeight="1">
      <c r="D608" s="1"/>
      <c r="E608" s="2"/>
      <c r="F608" s="2"/>
      <c r="G608" s="67"/>
      <c r="H608" s="67"/>
      <c r="I608" s="67"/>
      <c r="J608" s="67"/>
      <c r="K608" s="3"/>
      <c r="L608" s="3"/>
      <c r="M608" s="3"/>
      <c r="N608" s="3"/>
    </row>
    <row r="609" spans="4:14" ht="15.75" customHeight="1">
      <c r="D609" s="1"/>
      <c r="E609" s="2"/>
      <c r="F609" s="2"/>
      <c r="G609" s="67"/>
      <c r="H609" s="67"/>
      <c r="I609" s="67"/>
      <c r="J609" s="67"/>
      <c r="K609" s="3"/>
      <c r="L609" s="3"/>
      <c r="M609" s="3"/>
      <c r="N609" s="3"/>
    </row>
    <row r="610" spans="4:14" ht="15.75" customHeight="1">
      <c r="D610" s="1"/>
      <c r="E610" s="2"/>
      <c r="F610" s="2"/>
      <c r="G610" s="67"/>
      <c r="H610" s="67"/>
      <c r="I610" s="67"/>
      <c r="J610" s="67"/>
      <c r="K610" s="3"/>
      <c r="L610" s="3"/>
      <c r="M610" s="3"/>
      <c r="N610" s="3"/>
    </row>
    <row r="611" spans="4:14" ht="15.75" customHeight="1">
      <c r="D611" s="1"/>
      <c r="E611" s="2"/>
      <c r="F611" s="2"/>
      <c r="G611" s="67"/>
      <c r="H611" s="67"/>
      <c r="I611" s="67"/>
      <c r="J611" s="67"/>
      <c r="K611" s="3"/>
      <c r="L611" s="3"/>
      <c r="M611" s="3"/>
      <c r="N611" s="3"/>
    </row>
    <row r="612" spans="4:14" ht="15.75" customHeight="1">
      <c r="D612" s="1"/>
      <c r="E612" s="2"/>
      <c r="F612" s="2"/>
      <c r="G612" s="67"/>
      <c r="H612" s="67"/>
      <c r="I612" s="67"/>
      <c r="J612" s="67"/>
      <c r="K612" s="3"/>
      <c r="L612" s="3"/>
      <c r="M612" s="3"/>
      <c r="N612" s="3"/>
    </row>
    <row r="613" spans="4:14" ht="15.75" customHeight="1">
      <c r="D613" s="1"/>
      <c r="E613" s="2"/>
      <c r="F613" s="2"/>
      <c r="G613" s="67"/>
      <c r="H613" s="67"/>
      <c r="I613" s="67"/>
      <c r="J613" s="67"/>
      <c r="K613" s="3"/>
      <c r="L613" s="3"/>
      <c r="M613" s="3"/>
      <c r="N613" s="3"/>
    </row>
    <row r="614" spans="4:14" ht="15.75" customHeight="1">
      <c r="D614" s="1"/>
      <c r="E614" s="2"/>
      <c r="F614" s="2"/>
      <c r="G614" s="67"/>
      <c r="H614" s="67"/>
      <c r="I614" s="67"/>
      <c r="J614" s="67"/>
      <c r="K614" s="3"/>
      <c r="L614" s="3"/>
      <c r="M614" s="3"/>
      <c r="N614" s="3"/>
    </row>
    <row r="615" spans="4:14" ht="15.75" customHeight="1">
      <c r="D615" s="1"/>
      <c r="E615" s="2"/>
      <c r="F615" s="2"/>
      <c r="G615" s="67"/>
      <c r="H615" s="67"/>
      <c r="I615" s="67"/>
      <c r="J615" s="67"/>
      <c r="K615" s="3"/>
      <c r="L615" s="3"/>
      <c r="M615" s="3"/>
      <c r="N615" s="3"/>
    </row>
    <row r="616" spans="4:14" ht="15.75" customHeight="1">
      <c r="D616" s="1"/>
      <c r="E616" s="2"/>
      <c r="F616" s="2"/>
      <c r="G616" s="67"/>
      <c r="H616" s="67"/>
      <c r="I616" s="67"/>
      <c r="J616" s="67"/>
      <c r="K616" s="3"/>
      <c r="L616" s="3"/>
      <c r="M616" s="3"/>
      <c r="N616" s="3"/>
    </row>
    <row r="617" spans="4:14" ht="15.75" customHeight="1">
      <c r="D617" s="1"/>
      <c r="E617" s="2"/>
      <c r="F617" s="2"/>
      <c r="G617" s="67"/>
      <c r="H617" s="67"/>
      <c r="I617" s="67"/>
      <c r="J617" s="67"/>
      <c r="K617" s="3"/>
      <c r="L617" s="3"/>
      <c r="M617" s="3"/>
      <c r="N617" s="3"/>
    </row>
    <row r="618" spans="4:14" ht="15.75" customHeight="1">
      <c r="D618" s="1"/>
      <c r="E618" s="2"/>
      <c r="F618" s="2"/>
      <c r="G618" s="67"/>
      <c r="H618" s="67"/>
      <c r="I618" s="67"/>
      <c r="J618" s="67"/>
      <c r="K618" s="3"/>
      <c r="L618" s="3"/>
      <c r="M618" s="3"/>
      <c r="N618" s="3"/>
    </row>
    <row r="619" spans="4:14" ht="15.75" customHeight="1">
      <c r="D619" s="1"/>
      <c r="E619" s="2"/>
      <c r="F619" s="2"/>
      <c r="G619" s="67"/>
      <c r="H619" s="67"/>
      <c r="I619" s="67"/>
      <c r="J619" s="67"/>
      <c r="K619" s="3"/>
      <c r="L619" s="3"/>
      <c r="M619" s="3"/>
      <c r="N619" s="3"/>
    </row>
    <row r="620" spans="4:14" ht="15.75" customHeight="1">
      <c r="D620" s="1"/>
      <c r="E620" s="2"/>
      <c r="F620" s="2"/>
      <c r="G620" s="67"/>
      <c r="H620" s="67"/>
      <c r="I620" s="67"/>
      <c r="J620" s="67"/>
      <c r="K620" s="3"/>
      <c r="L620" s="3"/>
      <c r="M620" s="3"/>
      <c r="N620" s="3"/>
    </row>
    <row r="621" spans="4:14" ht="15.75" customHeight="1">
      <c r="D621" s="1"/>
      <c r="E621" s="2"/>
      <c r="F621" s="2"/>
      <c r="G621" s="67"/>
      <c r="H621" s="67"/>
      <c r="I621" s="67"/>
      <c r="J621" s="67"/>
      <c r="K621" s="3"/>
      <c r="L621" s="3"/>
      <c r="M621" s="3"/>
      <c r="N621" s="3"/>
    </row>
    <row r="622" spans="4:14" ht="15.75" customHeight="1">
      <c r="D622" s="1"/>
      <c r="E622" s="2"/>
      <c r="F622" s="2"/>
      <c r="G622" s="67"/>
      <c r="H622" s="67"/>
      <c r="I622" s="67"/>
      <c r="J622" s="67"/>
      <c r="K622" s="3"/>
      <c r="L622" s="3"/>
      <c r="M622" s="3"/>
      <c r="N622" s="3"/>
    </row>
    <row r="623" spans="4:14" ht="15.75" customHeight="1">
      <c r="D623" s="1"/>
      <c r="E623" s="2"/>
      <c r="F623" s="2"/>
      <c r="G623" s="67"/>
      <c r="H623" s="67"/>
      <c r="I623" s="67"/>
      <c r="J623" s="67"/>
      <c r="K623" s="3"/>
      <c r="L623" s="3"/>
      <c r="M623" s="3"/>
      <c r="N623" s="3"/>
    </row>
    <row r="624" spans="4:14" ht="15.75" customHeight="1">
      <c r="D624" s="1"/>
      <c r="E624" s="2"/>
      <c r="F624" s="2"/>
      <c r="G624" s="67"/>
      <c r="H624" s="67"/>
      <c r="I624" s="67"/>
      <c r="J624" s="67"/>
      <c r="K624" s="3"/>
      <c r="L624" s="3"/>
      <c r="M624" s="3"/>
      <c r="N624" s="3"/>
    </row>
    <row r="625" spans="4:14" ht="15.75" customHeight="1">
      <c r="D625" s="1"/>
      <c r="E625" s="2"/>
      <c r="F625" s="2"/>
      <c r="G625" s="67"/>
      <c r="H625" s="67"/>
      <c r="I625" s="67"/>
      <c r="J625" s="67"/>
      <c r="K625" s="3"/>
      <c r="L625" s="3"/>
      <c r="M625" s="3"/>
      <c r="N625" s="3"/>
    </row>
    <row r="626" spans="4:14" ht="15.75" customHeight="1">
      <c r="D626" s="1"/>
      <c r="E626" s="2"/>
      <c r="F626" s="2"/>
      <c r="G626" s="67"/>
      <c r="H626" s="67"/>
      <c r="I626" s="67"/>
      <c r="J626" s="67"/>
      <c r="K626" s="3"/>
      <c r="L626" s="3"/>
      <c r="M626" s="3"/>
      <c r="N626" s="3"/>
    </row>
    <row r="627" spans="4:14" ht="15.75" customHeight="1">
      <c r="D627" s="1"/>
      <c r="E627" s="2"/>
      <c r="F627" s="2"/>
      <c r="G627" s="67"/>
      <c r="H627" s="67"/>
      <c r="I627" s="67"/>
      <c r="J627" s="67"/>
      <c r="K627" s="3"/>
      <c r="L627" s="3"/>
      <c r="M627" s="3"/>
      <c r="N627" s="3"/>
    </row>
    <row r="628" spans="4:14" ht="15.75" customHeight="1">
      <c r="D628" s="1"/>
      <c r="E628" s="2"/>
      <c r="F628" s="2"/>
      <c r="G628" s="67"/>
      <c r="H628" s="67"/>
      <c r="I628" s="67"/>
      <c r="J628" s="67"/>
      <c r="K628" s="3"/>
      <c r="L628" s="3"/>
      <c r="M628" s="3"/>
      <c r="N628" s="3"/>
    </row>
    <row r="629" spans="4:14" ht="15.75" customHeight="1">
      <c r="D629" s="1"/>
      <c r="E629" s="2"/>
      <c r="F629" s="2"/>
      <c r="G629" s="67"/>
      <c r="H629" s="67"/>
      <c r="I629" s="67"/>
      <c r="J629" s="67"/>
      <c r="K629" s="3"/>
      <c r="L629" s="3"/>
      <c r="M629" s="3"/>
      <c r="N629" s="3"/>
    </row>
    <row r="630" spans="4:14" ht="15.75" customHeight="1">
      <c r="D630" s="1"/>
      <c r="E630" s="2"/>
      <c r="F630" s="2"/>
      <c r="G630" s="67"/>
      <c r="H630" s="67"/>
      <c r="I630" s="67"/>
      <c r="J630" s="67"/>
      <c r="K630" s="3"/>
      <c r="L630" s="3"/>
      <c r="M630" s="3"/>
      <c r="N630" s="3"/>
    </row>
    <row r="631" spans="4:14" ht="15.75" customHeight="1">
      <c r="D631" s="1"/>
      <c r="E631" s="2"/>
      <c r="F631" s="2"/>
      <c r="G631" s="67"/>
      <c r="H631" s="67"/>
      <c r="I631" s="67"/>
      <c r="J631" s="67"/>
      <c r="K631" s="3"/>
      <c r="L631" s="3"/>
      <c r="M631" s="3"/>
      <c r="N631" s="3"/>
    </row>
    <row r="632" spans="4:14" ht="15.75" customHeight="1">
      <c r="D632" s="1"/>
      <c r="E632" s="2"/>
      <c r="F632" s="2"/>
      <c r="G632" s="67"/>
      <c r="H632" s="67"/>
      <c r="I632" s="67"/>
      <c r="J632" s="67"/>
      <c r="K632" s="3"/>
      <c r="L632" s="3"/>
      <c r="M632" s="3"/>
      <c r="N632" s="3"/>
    </row>
    <row r="633" spans="4:14" ht="15.75" customHeight="1">
      <c r="D633" s="1"/>
      <c r="E633" s="2"/>
      <c r="F633" s="2"/>
      <c r="G633" s="67"/>
      <c r="H633" s="67"/>
      <c r="I633" s="67"/>
      <c r="J633" s="67"/>
      <c r="K633" s="3"/>
      <c r="L633" s="3"/>
      <c r="M633" s="3"/>
      <c r="N633" s="3"/>
    </row>
    <row r="634" spans="4:14" ht="15.75" customHeight="1">
      <c r="D634" s="1"/>
      <c r="E634" s="2"/>
      <c r="F634" s="2"/>
      <c r="G634" s="67"/>
      <c r="H634" s="67"/>
      <c r="I634" s="67"/>
      <c r="J634" s="67"/>
      <c r="K634" s="3"/>
      <c r="L634" s="3"/>
      <c r="M634" s="3"/>
      <c r="N634" s="3"/>
    </row>
    <row r="635" spans="4:14" ht="15.75" customHeight="1">
      <c r="D635" s="1"/>
      <c r="E635" s="2"/>
      <c r="F635" s="2"/>
      <c r="G635" s="67"/>
      <c r="H635" s="67"/>
      <c r="I635" s="67"/>
      <c r="J635" s="67"/>
      <c r="K635" s="3"/>
      <c r="L635" s="3"/>
      <c r="M635" s="3"/>
      <c r="N635" s="3"/>
    </row>
    <row r="636" spans="4:14" ht="15.75" customHeight="1">
      <c r="D636" s="1"/>
      <c r="E636" s="2"/>
      <c r="F636" s="2"/>
      <c r="G636" s="67"/>
      <c r="H636" s="67"/>
      <c r="I636" s="67"/>
      <c r="J636" s="67"/>
      <c r="K636" s="3"/>
      <c r="L636" s="3"/>
      <c r="M636" s="3"/>
      <c r="N636" s="3"/>
    </row>
    <row r="637" spans="4:14" ht="15.75" customHeight="1">
      <c r="D637" s="1"/>
      <c r="E637" s="2"/>
      <c r="F637" s="2"/>
      <c r="G637" s="67"/>
      <c r="H637" s="67"/>
      <c r="I637" s="67"/>
      <c r="J637" s="67"/>
      <c r="K637" s="3"/>
      <c r="L637" s="3"/>
      <c r="M637" s="3"/>
      <c r="N637" s="3"/>
    </row>
    <row r="638" spans="4:14" ht="15.75" customHeight="1">
      <c r="D638" s="1"/>
      <c r="E638" s="2"/>
      <c r="F638" s="2"/>
      <c r="G638" s="67"/>
      <c r="H638" s="67"/>
      <c r="I638" s="67"/>
      <c r="J638" s="67"/>
      <c r="K638" s="3"/>
      <c r="L638" s="3"/>
      <c r="M638" s="3"/>
      <c r="N638" s="3"/>
    </row>
    <row r="639" spans="4:14" ht="15.75" customHeight="1">
      <c r="D639" s="1"/>
      <c r="E639" s="2"/>
      <c r="F639" s="2"/>
      <c r="G639" s="67"/>
      <c r="H639" s="67"/>
      <c r="I639" s="67"/>
      <c r="J639" s="67"/>
      <c r="K639" s="3"/>
      <c r="L639" s="3"/>
      <c r="M639" s="3"/>
      <c r="N639" s="3"/>
    </row>
    <row r="640" spans="4:14" ht="15.75" customHeight="1">
      <c r="D640" s="1"/>
      <c r="E640" s="2"/>
      <c r="F640" s="2"/>
      <c r="G640" s="67"/>
      <c r="H640" s="67"/>
      <c r="I640" s="67"/>
      <c r="J640" s="67"/>
      <c r="K640" s="3"/>
      <c r="L640" s="3"/>
      <c r="M640" s="3"/>
      <c r="N640" s="3"/>
    </row>
    <row r="641" spans="4:14" ht="15.75" customHeight="1">
      <c r="D641" s="1"/>
      <c r="E641" s="2"/>
      <c r="F641" s="2"/>
      <c r="G641" s="67"/>
      <c r="H641" s="67"/>
      <c r="I641" s="67"/>
      <c r="J641" s="67"/>
      <c r="K641" s="3"/>
      <c r="L641" s="3"/>
      <c r="M641" s="3"/>
      <c r="N641" s="3"/>
    </row>
    <row r="642" spans="4:14" ht="15.75" customHeight="1">
      <c r="D642" s="1"/>
      <c r="E642" s="2"/>
      <c r="F642" s="2"/>
      <c r="G642" s="67"/>
      <c r="H642" s="67"/>
      <c r="I642" s="67"/>
      <c r="J642" s="67"/>
      <c r="K642" s="3"/>
      <c r="L642" s="3"/>
      <c r="M642" s="3"/>
      <c r="N642" s="3"/>
    </row>
    <row r="643" spans="4:14" ht="15.75" customHeight="1">
      <c r="D643" s="1"/>
      <c r="E643" s="2"/>
      <c r="F643" s="2"/>
      <c r="G643" s="67"/>
      <c r="H643" s="67"/>
      <c r="I643" s="67"/>
      <c r="J643" s="67"/>
      <c r="K643" s="3"/>
      <c r="L643" s="3"/>
      <c r="M643" s="3"/>
      <c r="N643" s="3"/>
    </row>
    <row r="644" spans="4:14" ht="15.75" customHeight="1">
      <c r="D644" s="1"/>
      <c r="E644" s="2"/>
      <c r="F644" s="2"/>
      <c r="G644" s="67"/>
      <c r="H644" s="67"/>
      <c r="I644" s="67"/>
      <c r="J644" s="67"/>
      <c r="K644" s="3"/>
      <c r="L644" s="3"/>
      <c r="M644" s="3"/>
      <c r="N644" s="3"/>
    </row>
    <row r="645" spans="4:14" ht="15.75" customHeight="1">
      <c r="D645" s="1"/>
      <c r="E645" s="2"/>
      <c r="F645" s="2"/>
      <c r="G645" s="67"/>
      <c r="H645" s="67"/>
      <c r="I645" s="67"/>
      <c r="J645" s="67"/>
      <c r="K645" s="3"/>
      <c r="L645" s="3"/>
      <c r="M645" s="3"/>
      <c r="N645" s="3"/>
    </row>
    <row r="646" spans="4:14" ht="15.75" customHeight="1">
      <c r="D646" s="1"/>
      <c r="E646" s="2"/>
      <c r="F646" s="2"/>
      <c r="G646" s="67"/>
      <c r="H646" s="67"/>
      <c r="I646" s="67"/>
      <c r="J646" s="67"/>
      <c r="K646" s="3"/>
      <c r="L646" s="3"/>
      <c r="M646" s="3"/>
      <c r="N646" s="3"/>
    </row>
    <row r="647" spans="4:14" ht="15.75" customHeight="1">
      <c r="D647" s="1"/>
      <c r="E647" s="2"/>
      <c r="F647" s="2"/>
      <c r="G647" s="67"/>
      <c r="H647" s="67"/>
      <c r="I647" s="67"/>
      <c r="J647" s="67"/>
      <c r="K647" s="3"/>
      <c r="L647" s="3"/>
      <c r="M647" s="3"/>
      <c r="N647" s="3"/>
    </row>
    <row r="648" spans="4:14" ht="15.75" customHeight="1">
      <c r="D648" s="1"/>
      <c r="E648" s="2"/>
      <c r="F648" s="2"/>
      <c r="G648" s="67"/>
      <c r="H648" s="67"/>
      <c r="I648" s="67"/>
      <c r="J648" s="67"/>
      <c r="K648" s="3"/>
      <c r="L648" s="3"/>
      <c r="M648" s="3"/>
      <c r="N648" s="3"/>
    </row>
    <row r="649" spans="4:14" ht="15.75" customHeight="1">
      <c r="D649" s="1"/>
      <c r="E649" s="2"/>
      <c r="F649" s="2"/>
      <c r="G649" s="67"/>
      <c r="H649" s="67"/>
      <c r="I649" s="67"/>
      <c r="J649" s="67"/>
      <c r="K649" s="3"/>
      <c r="L649" s="3"/>
      <c r="M649" s="3"/>
      <c r="N649" s="3"/>
    </row>
    <row r="650" spans="4:14" ht="15.75" customHeight="1">
      <c r="D650" s="1"/>
      <c r="E650" s="2"/>
      <c r="F650" s="2"/>
      <c r="G650" s="67"/>
      <c r="H650" s="67"/>
      <c r="I650" s="67"/>
      <c r="J650" s="67"/>
      <c r="K650" s="3"/>
      <c r="L650" s="3"/>
      <c r="M650" s="3"/>
      <c r="N650" s="3"/>
    </row>
    <row r="651" spans="4:14" ht="15.75" customHeight="1">
      <c r="D651" s="1"/>
      <c r="E651" s="2"/>
      <c r="F651" s="2"/>
      <c r="G651" s="67"/>
      <c r="H651" s="67"/>
      <c r="I651" s="67"/>
      <c r="J651" s="67"/>
      <c r="K651" s="3"/>
      <c r="L651" s="3"/>
      <c r="M651" s="3"/>
      <c r="N651" s="3"/>
    </row>
    <row r="652" spans="4:14" ht="15.75" customHeight="1">
      <c r="D652" s="1"/>
      <c r="E652" s="2"/>
      <c r="F652" s="2"/>
      <c r="G652" s="67"/>
      <c r="H652" s="67"/>
      <c r="I652" s="67"/>
      <c r="J652" s="67"/>
      <c r="K652" s="3"/>
      <c r="L652" s="3"/>
      <c r="M652" s="3"/>
      <c r="N652" s="3"/>
    </row>
    <row r="653" spans="4:14" ht="15.75" customHeight="1">
      <c r="D653" s="1"/>
      <c r="E653" s="2"/>
      <c r="F653" s="2"/>
      <c r="G653" s="67"/>
      <c r="H653" s="67"/>
      <c r="I653" s="67"/>
      <c r="J653" s="67"/>
      <c r="K653" s="3"/>
      <c r="L653" s="3"/>
      <c r="M653" s="3"/>
      <c r="N653" s="3"/>
    </row>
    <row r="654" spans="4:14" ht="15.75" customHeight="1">
      <c r="D654" s="1"/>
      <c r="E654" s="2"/>
      <c r="F654" s="2"/>
      <c r="G654" s="67"/>
      <c r="H654" s="67"/>
      <c r="I654" s="67"/>
      <c r="J654" s="67"/>
      <c r="K654" s="3"/>
      <c r="L654" s="3"/>
      <c r="M654" s="3"/>
      <c r="N654" s="3"/>
    </row>
    <row r="655" spans="4:14" ht="15.75" customHeight="1">
      <c r="D655" s="1"/>
      <c r="E655" s="2"/>
      <c r="F655" s="2"/>
      <c r="G655" s="67"/>
      <c r="H655" s="67"/>
      <c r="I655" s="67"/>
      <c r="J655" s="67"/>
      <c r="K655" s="3"/>
      <c r="L655" s="3"/>
      <c r="M655" s="3"/>
      <c r="N655" s="3"/>
    </row>
    <row r="656" spans="4:14" ht="15.75" customHeight="1">
      <c r="D656" s="1"/>
      <c r="E656" s="2"/>
      <c r="F656" s="2"/>
      <c r="G656" s="67"/>
      <c r="H656" s="67"/>
      <c r="I656" s="67"/>
      <c r="J656" s="67"/>
      <c r="K656" s="3"/>
      <c r="L656" s="3"/>
      <c r="M656" s="3"/>
      <c r="N656" s="3"/>
    </row>
    <row r="657" spans="4:14" ht="15.75" customHeight="1">
      <c r="D657" s="1"/>
      <c r="E657" s="2"/>
      <c r="F657" s="2"/>
      <c r="G657" s="67"/>
      <c r="H657" s="67"/>
      <c r="I657" s="67"/>
      <c r="J657" s="67"/>
      <c r="K657" s="3"/>
      <c r="L657" s="3"/>
      <c r="M657" s="3"/>
      <c r="N657" s="3"/>
    </row>
    <row r="658" spans="4:14" ht="15.75" customHeight="1">
      <c r="D658" s="1"/>
      <c r="E658" s="2"/>
      <c r="F658" s="2"/>
      <c r="G658" s="67"/>
      <c r="H658" s="67"/>
      <c r="I658" s="67"/>
      <c r="J658" s="67"/>
      <c r="K658" s="3"/>
      <c r="L658" s="3"/>
      <c r="M658" s="3"/>
      <c r="N658" s="3"/>
    </row>
    <row r="659" spans="4:14" ht="15.75" customHeight="1">
      <c r="D659" s="1"/>
      <c r="E659" s="2"/>
      <c r="F659" s="2"/>
      <c r="G659" s="67"/>
      <c r="H659" s="67"/>
      <c r="I659" s="67"/>
      <c r="J659" s="67"/>
      <c r="K659" s="3"/>
      <c r="L659" s="3"/>
      <c r="M659" s="3"/>
      <c r="N659" s="3"/>
    </row>
    <row r="660" spans="4:14" ht="15.75" customHeight="1">
      <c r="D660" s="1"/>
      <c r="E660" s="2"/>
      <c r="F660" s="2"/>
      <c r="G660" s="67"/>
      <c r="H660" s="67"/>
      <c r="I660" s="67"/>
      <c r="J660" s="67"/>
      <c r="K660" s="3"/>
      <c r="L660" s="3"/>
      <c r="M660" s="3"/>
      <c r="N660" s="3"/>
    </row>
    <row r="661" spans="4:14" ht="15.75" customHeight="1">
      <c r="D661" s="1"/>
      <c r="E661" s="2"/>
      <c r="F661" s="2"/>
      <c r="G661" s="67"/>
      <c r="H661" s="67"/>
      <c r="I661" s="67"/>
      <c r="J661" s="67"/>
      <c r="K661" s="3"/>
      <c r="L661" s="3"/>
      <c r="M661" s="3"/>
      <c r="N661" s="3"/>
    </row>
    <row r="662" spans="4:14" ht="15.75" customHeight="1">
      <c r="D662" s="1"/>
      <c r="E662" s="2"/>
      <c r="F662" s="2"/>
      <c r="G662" s="67"/>
      <c r="H662" s="67"/>
      <c r="I662" s="67"/>
      <c r="J662" s="67"/>
      <c r="K662" s="3"/>
      <c r="L662" s="3"/>
      <c r="M662" s="3"/>
      <c r="N662" s="3"/>
    </row>
    <row r="663" spans="4:14" ht="15.75" customHeight="1">
      <c r="D663" s="1"/>
      <c r="E663" s="2"/>
      <c r="F663" s="2"/>
      <c r="G663" s="67"/>
      <c r="H663" s="67"/>
      <c r="I663" s="67"/>
      <c r="J663" s="67"/>
      <c r="K663" s="3"/>
      <c r="L663" s="3"/>
      <c r="M663" s="3"/>
      <c r="N663" s="3"/>
    </row>
    <row r="664" spans="4:14" ht="15.75" customHeight="1">
      <c r="D664" s="1"/>
      <c r="E664" s="2"/>
      <c r="F664" s="2"/>
      <c r="G664" s="67"/>
      <c r="H664" s="67"/>
      <c r="I664" s="67"/>
      <c r="J664" s="67"/>
      <c r="K664" s="3"/>
      <c r="L664" s="3"/>
      <c r="M664" s="3"/>
      <c r="N664" s="3"/>
    </row>
    <row r="665" spans="4:14" ht="15.75" customHeight="1">
      <c r="D665" s="1"/>
      <c r="E665" s="2"/>
      <c r="F665" s="2"/>
      <c r="G665" s="67"/>
      <c r="H665" s="67"/>
      <c r="I665" s="67"/>
      <c r="J665" s="67"/>
      <c r="K665" s="3"/>
      <c r="L665" s="3"/>
      <c r="M665" s="3"/>
      <c r="N665" s="3"/>
    </row>
    <row r="666" spans="4:14" ht="15.75" customHeight="1">
      <c r="D666" s="1"/>
      <c r="E666" s="2"/>
      <c r="F666" s="2"/>
      <c r="G666" s="67"/>
      <c r="H666" s="67"/>
      <c r="I666" s="67"/>
      <c r="J666" s="67"/>
      <c r="K666" s="3"/>
      <c r="L666" s="3"/>
      <c r="M666" s="3"/>
      <c r="N666" s="3"/>
    </row>
    <row r="667" spans="4:14" ht="15.75" customHeight="1">
      <c r="D667" s="1"/>
      <c r="E667" s="2"/>
      <c r="F667" s="2"/>
      <c r="G667" s="67"/>
      <c r="H667" s="67"/>
      <c r="I667" s="67"/>
      <c r="J667" s="67"/>
      <c r="K667" s="3"/>
      <c r="L667" s="3"/>
      <c r="M667" s="3"/>
      <c r="N667" s="3"/>
    </row>
    <row r="668" spans="4:14" ht="15.75" customHeight="1">
      <c r="D668" s="1"/>
      <c r="E668" s="2"/>
      <c r="F668" s="2"/>
      <c r="G668" s="67"/>
      <c r="H668" s="67"/>
      <c r="I668" s="67"/>
      <c r="J668" s="67"/>
      <c r="K668" s="3"/>
      <c r="L668" s="3"/>
      <c r="M668" s="3"/>
      <c r="N668" s="3"/>
    </row>
    <row r="669" spans="4:14" ht="15.75" customHeight="1">
      <c r="D669" s="1"/>
      <c r="E669" s="2"/>
      <c r="F669" s="2"/>
      <c r="G669" s="67"/>
      <c r="H669" s="67"/>
      <c r="I669" s="67"/>
      <c r="J669" s="67"/>
      <c r="K669" s="3"/>
      <c r="L669" s="3"/>
      <c r="M669" s="3"/>
      <c r="N669" s="3"/>
    </row>
    <row r="670" spans="4:14" ht="15.75" customHeight="1">
      <c r="D670" s="1"/>
      <c r="E670" s="2"/>
      <c r="F670" s="2"/>
      <c r="G670" s="67"/>
      <c r="H670" s="67"/>
      <c r="I670" s="67"/>
      <c r="J670" s="67"/>
      <c r="K670" s="3"/>
      <c r="L670" s="3"/>
      <c r="M670" s="3"/>
      <c r="N670" s="3"/>
    </row>
    <row r="671" spans="4:14" ht="15.75" customHeight="1">
      <c r="D671" s="1"/>
      <c r="E671" s="2"/>
      <c r="F671" s="2"/>
      <c r="G671" s="67"/>
      <c r="H671" s="67"/>
      <c r="I671" s="67"/>
      <c r="J671" s="67"/>
      <c r="K671" s="3"/>
      <c r="L671" s="3"/>
      <c r="M671" s="3"/>
      <c r="N671" s="3"/>
    </row>
    <row r="672" spans="4:14" ht="15.75" customHeight="1">
      <c r="D672" s="1"/>
      <c r="E672" s="2"/>
      <c r="F672" s="2"/>
      <c r="G672" s="67"/>
      <c r="H672" s="67"/>
      <c r="I672" s="67"/>
      <c r="J672" s="67"/>
      <c r="K672" s="3"/>
      <c r="L672" s="3"/>
      <c r="M672" s="3"/>
      <c r="N672" s="3"/>
    </row>
    <row r="673" spans="4:14" ht="15.75" customHeight="1">
      <c r="D673" s="1"/>
      <c r="E673" s="2"/>
      <c r="F673" s="2"/>
      <c r="G673" s="67"/>
      <c r="H673" s="67"/>
      <c r="I673" s="67"/>
      <c r="J673" s="67"/>
      <c r="K673" s="3"/>
      <c r="L673" s="3"/>
      <c r="M673" s="3"/>
      <c r="N673" s="3"/>
    </row>
    <row r="674" spans="4:14" ht="15.75" customHeight="1">
      <c r="D674" s="1"/>
      <c r="E674" s="2"/>
      <c r="F674" s="2"/>
      <c r="G674" s="67"/>
      <c r="H674" s="67"/>
      <c r="I674" s="67"/>
      <c r="J674" s="67"/>
      <c r="K674" s="3"/>
      <c r="L674" s="3"/>
      <c r="M674" s="3"/>
      <c r="N674" s="3"/>
    </row>
    <row r="675" spans="4:14" ht="15.75" customHeight="1">
      <c r="D675" s="1"/>
      <c r="E675" s="2"/>
      <c r="F675" s="2"/>
      <c r="G675" s="67"/>
      <c r="H675" s="67"/>
      <c r="I675" s="67"/>
      <c r="J675" s="67"/>
      <c r="K675" s="3"/>
      <c r="L675" s="3"/>
      <c r="M675" s="3"/>
      <c r="N675" s="3"/>
    </row>
    <row r="676" spans="4:14" ht="15.75" customHeight="1">
      <c r="D676" s="1"/>
      <c r="E676" s="2"/>
      <c r="F676" s="2"/>
      <c r="G676" s="67"/>
      <c r="H676" s="67"/>
      <c r="I676" s="67"/>
      <c r="J676" s="67"/>
      <c r="K676" s="3"/>
      <c r="L676" s="3"/>
      <c r="M676" s="3"/>
      <c r="N676" s="3"/>
    </row>
    <row r="677" spans="4:14" ht="15.75" customHeight="1">
      <c r="D677" s="1"/>
      <c r="E677" s="2"/>
      <c r="F677" s="2"/>
      <c r="G677" s="67"/>
      <c r="H677" s="67"/>
      <c r="I677" s="67"/>
      <c r="J677" s="67"/>
      <c r="K677" s="3"/>
      <c r="L677" s="3"/>
      <c r="M677" s="3"/>
      <c r="N677" s="3"/>
    </row>
    <row r="678" spans="4:14" ht="15.75" customHeight="1">
      <c r="D678" s="1"/>
      <c r="E678" s="2"/>
      <c r="F678" s="2"/>
      <c r="G678" s="67"/>
      <c r="H678" s="67"/>
      <c r="I678" s="67"/>
      <c r="J678" s="67"/>
      <c r="K678" s="3"/>
      <c r="L678" s="3"/>
      <c r="M678" s="3"/>
      <c r="N678" s="3"/>
    </row>
    <row r="679" spans="4:14" ht="15.75" customHeight="1">
      <c r="D679" s="1"/>
      <c r="E679" s="2"/>
      <c r="F679" s="2"/>
      <c r="G679" s="67"/>
      <c r="H679" s="67"/>
      <c r="I679" s="67"/>
      <c r="J679" s="67"/>
      <c r="K679" s="3"/>
      <c r="L679" s="3"/>
      <c r="M679" s="3"/>
      <c r="N679" s="3"/>
    </row>
    <row r="680" spans="4:14" ht="15.75" customHeight="1">
      <c r="D680" s="1"/>
      <c r="E680" s="2"/>
      <c r="F680" s="2"/>
      <c r="G680" s="67"/>
      <c r="H680" s="67"/>
      <c r="I680" s="67"/>
      <c r="J680" s="67"/>
      <c r="K680" s="3"/>
      <c r="L680" s="3"/>
      <c r="M680" s="3"/>
      <c r="N680" s="3"/>
    </row>
    <row r="681" spans="4:14" ht="15.75" customHeight="1">
      <c r="D681" s="1"/>
      <c r="E681" s="2"/>
      <c r="F681" s="2"/>
      <c r="G681" s="67"/>
      <c r="H681" s="67"/>
      <c r="I681" s="67"/>
      <c r="J681" s="67"/>
      <c r="K681" s="3"/>
      <c r="L681" s="3"/>
      <c r="M681" s="3"/>
      <c r="N681" s="3"/>
    </row>
    <row r="682" spans="4:14" ht="15.75" customHeight="1">
      <c r="D682" s="1"/>
      <c r="E682" s="2"/>
      <c r="F682" s="2"/>
      <c r="G682" s="67"/>
      <c r="H682" s="67"/>
      <c r="I682" s="67"/>
      <c r="J682" s="67"/>
      <c r="K682" s="3"/>
      <c r="L682" s="3"/>
      <c r="M682" s="3"/>
      <c r="N682" s="3"/>
    </row>
    <row r="683" spans="4:14" ht="15.75" customHeight="1">
      <c r="D683" s="1"/>
      <c r="E683" s="2"/>
      <c r="F683" s="2"/>
      <c r="G683" s="67"/>
      <c r="H683" s="67"/>
      <c r="I683" s="67"/>
      <c r="J683" s="67"/>
      <c r="K683" s="3"/>
      <c r="L683" s="3"/>
      <c r="M683" s="3"/>
      <c r="N683" s="3"/>
    </row>
    <row r="684" spans="4:14" ht="15.75" customHeight="1">
      <c r="D684" s="1"/>
      <c r="E684" s="2"/>
      <c r="F684" s="2"/>
      <c r="G684" s="67"/>
      <c r="H684" s="67"/>
      <c r="I684" s="67"/>
      <c r="J684" s="67"/>
      <c r="K684" s="3"/>
      <c r="L684" s="3"/>
      <c r="M684" s="3"/>
      <c r="N684" s="3"/>
    </row>
    <row r="685" spans="4:14" ht="15.75" customHeight="1">
      <c r="D685" s="1"/>
      <c r="E685" s="2"/>
      <c r="F685" s="2"/>
      <c r="G685" s="67"/>
      <c r="H685" s="67"/>
      <c r="I685" s="67"/>
      <c r="J685" s="67"/>
      <c r="K685" s="3"/>
      <c r="L685" s="3"/>
      <c r="M685" s="3"/>
      <c r="N685" s="3"/>
    </row>
    <row r="686" spans="4:14" ht="15.75" customHeight="1">
      <c r="D686" s="1"/>
      <c r="E686" s="2"/>
      <c r="F686" s="2"/>
      <c r="G686" s="67"/>
      <c r="H686" s="67"/>
      <c r="I686" s="67"/>
      <c r="J686" s="67"/>
      <c r="K686" s="3"/>
      <c r="L686" s="3"/>
      <c r="M686" s="3"/>
      <c r="N686" s="3"/>
    </row>
    <row r="687" spans="4:14" ht="15.75" customHeight="1">
      <c r="D687" s="1"/>
      <c r="E687" s="2"/>
      <c r="F687" s="2"/>
      <c r="G687" s="67"/>
      <c r="H687" s="67"/>
      <c r="I687" s="67"/>
      <c r="J687" s="67"/>
      <c r="K687" s="3"/>
      <c r="L687" s="3"/>
      <c r="M687" s="3"/>
      <c r="N687" s="3"/>
    </row>
    <row r="688" spans="4:14" ht="15.75" customHeight="1">
      <c r="D688" s="1"/>
      <c r="E688" s="2"/>
      <c r="F688" s="2"/>
      <c r="G688" s="67"/>
      <c r="H688" s="67"/>
      <c r="I688" s="67"/>
      <c r="J688" s="67"/>
      <c r="K688" s="3"/>
      <c r="L688" s="3"/>
      <c r="M688" s="3"/>
      <c r="N688" s="3"/>
    </row>
    <row r="689" spans="4:14" ht="15.75" customHeight="1">
      <c r="D689" s="1"/>
      <c r="E689" s="2"/>
      <c r="F689" s="2"/>
      <c r="G689" s="67"/>
      <c r="H689" s="67"/>
      <c r="I689" s="67"/>
      <c r="J689" s="67"/>
      <c r="K689" s="3"/>
      <c r="L689" s="3"/>
      <c r="M689" s="3"/>
      <c r="N689" s="3"/>
    </row>
    <row r="690" spans="4:14" ht="15.75" customHeight="1">
      <c r="D690" s="1"/>
      <c r="E690" s="2"/>
      <c r="F690" s="2"/>
      <c r="G690" s="67"/>
      <c r="H690" s="67"/>
      <c r="I690" s="67"/>
      <c r="J690" s="67"/>
      <c r="K690" s="3"/>
      <c r="L690" s="3"/>
      <c r="M690" s="3"/>
      <c r="N690" s="3"/>
    </row>
    <row r="691" spans="4:14" ht="15.75" customHeight="1">
      <c r="D691" s="1"/>
      <c r="E691" s="2"/>
      <c r="F691" s="2"/>
      <c r="G691" s="67"/>
      <c r="H691" s="67"/>
      <c r="I691" s="67"/>
      <c r="J691" s="67"/>
      <c r="K691" s="3"/>
      <c r="L691" s="3"/>
      <c r="M691" s="3"/>
      <c r="N691" s="3"/>
    </row>
    <row r="692" spans="4:14" ht="15.75" customHeight="1">
      <c r="D692" s="1"/>
      <c r="E692" s="2"/>
      <c r="F692" s="2"/>
      <c r="G692" s="67"/>
      <c r="H692" s="67"/>
      <c r="I692" s="67"/>
      <c r="J692" s="67"/>
      <c r="K692" s="3"/>
      <c r="L692" s="3"/>
      <c r="M692" s="3"/>
      <c r="N692" s="3"/>
    </row>
    <row r="693" spans="4:14" ht="15.75" customHeight="1">
      <c r="D693" s="1"/>
      <c r="E693" s="2"/>
      <c r="F693" s="2"/>
      <c r="G693" s="67"/>
      <c r="H693" s="67"/>
      <c r="I693" s="67"/>
      <c r="J693" s="67"/>
      <c r="K693" s="3"/>
      <c r="L693" s="3"/>
      <c r="M693" s="3"/>
      <c r="N693" s="3"/>
    </row>
    <row r="694" spans="4:14" ht="15.75" customHeight="1">
      <c r="D694" s="1"/>
      <c r="E694" s="2"/>
      <c r="F694" s="2"/>
      <c r="G694" s="67"/>
      <c r="H694" s="67"/>
      <c r="I694" s="67"/>
      <c r="J694" s="67"/>
      <c r="K694" s="3"/>
      <c r="L694" s="3"/>
      <c r="M694" s="3"/>
      <c r="N694" s="3"/>
    </row>
    <row r="695" spans="4:14" ht="15.75" customHeight="1">
      <c r="D695" s="1"/>
      <c r="E695" s="2"/>
      <c r="F695" s="2"/>
      <c r="G695" s="67"/>
      <c r="H695" s="67"/>
      <c r="I695" s="67"/>
      <c r="J695" s="67"/>
      <c r="K695" s="3"/>
      <c r="L695" s="3"/>
      <c r="M695" s="3"/>
      <c r="N695" s="3"/>
    </row>
    <row r="696" spans="4:14" ht="15.75" customHeight="1">
      <c r="D696" s="1"/>
      <c r="E696" s="2"/>
      <c r="F696" s="2"/>
      <c r="G696" s="67"/>
      <c r="H696" s="67"/>
      <c r="I696" s="67"/>
      <c r="J696" s="67"/>
      <c r="K696" s="3"/>
      <c r="L696" s="3"/>
      <c r="M696" s="3"/>
      <c r="N696" s="3"/>
    </row>
    <row r="697" spans="4:14" ht="15.75" customHeight="1">
      <c r="D697" s="1"/>
      <c r="E697" s="2"/>
      <c r="F697" s="2"/>
      <c r="G697" s="67"/>
      <c r="H697" s="67"/>
      <c r="I697" s="67"/>
      <c r="J697" s="67"/>
      <c r="K697" s="3"/>
      <c r="L697" s="3"/>
      <c r="M697" s="3"/>
      <c r="N697" s="3"/>
    </row>
    <row r="698" spans="4:14" ht="15.75" customHeight="1">
      <c r="D698" s="1"/>
      <c r="E698" s="2"/>
      <c r="F698" s="2"/>
      <c r="G698" s="67"/>
      <c r="H698" s="67"/>
      <c r="I698" s="67"/>
      <c r="J698" s="67"/>
      <c r="K698" s="3"/>
      <c r="L698" s="3"/>
      <c r="M698" s="3"/>
      <c r="N698" s="3"/>
    </row>
    <row r="699" spans="4:14" ht="15.75" customHeight="1">
      <c r="D699" s="1"/>
      <c r="E699" s="2"/>
      <c r="F699" s="2"/>
      <c r="G699" s="67"/>
      <c r="H699" s="67"/>
      <c r="I699" s="67"/>
      <c r="J699" s="67"/>
      <c r="K699" s="3"/>
      <c r="L699" s="3"/>
      <c r="M699" s="3"/>
      <c r="N699" s="3"/>
    </row>
    <row r="700" spans="4:14" ht="15.75" customHeight="1">
      <c r="D700" s="1"/>
      <c r="E700" s="2"/>
      <c r="F700" s="2"/>
      <c r="G700" s="67"/>
      <c r="H700" s="67"/>
      <c r="I700" s="67"/>
      <c r="J700" s="67"/>
      <c r="K700" s="3"/>
      <c r="L700" s="3"/>
      <c r="M700" s="3"/>
      <c r="N700" s="3"/>
    </row>
    <row r="701" spans="4:14" ht="15.75" customHeight="1">
      <c r="D701" s="1"/>
      <c r="E701" s="2"/>
      <c r="F701" s="2"/>
      <c r="G701" s="67"/>
      <c r="H701" s="67"/>
      <c r="I701" s="67"/>
      <c r="J701" s="67"/>
      <c r="K701" s="3"/>
      <c r="L701" s="3"/>
      <c r="M701" s="3"/>
      <c r="N701" s="3"/>
    </row>
    <row r="702" spans="4:14" ht="15.75" customHeight="1">
      <c r="D702" s="1"/>
      <c r="E702" s="2"/>
      <c r="F702" s="2"/>
      <c r="G702" s="67"/>
      <c r="H702" s="67"/>
      <c r="I702" s="67"/>
      <c r="J702" s="67"/>
      <c r="K702" s="3"/>
      <c r="L702" s="3"/>
      <c r="M702" s="3"/>
      <c r="N702" s="3"/>
    </row>
    <row r="703" spans="4:14" ht="15.75" customHeight="1">
      <c r="D703" s="1"/>
      <c r="E703" s="2"/>
      <c r="F703" s="2"/>
      <c r="G703" s="67"/>
      <c r="H703" s="67"/>
      <c r="I703" s="67"/>
      <c r="J703" s="67"/>
      <c r="K703" s="3"/>
      <c r="L703" s="3"/>
      <c r="M703" s="3"/>
      <c r="N703" s="3"/>
    </row>
    <row r="704" spans="4:14" ht="15.75" customHeight="1">
      <c r="D704" s="1"/>
      <c r="E704" s="2"/>
      <c r="F704" s="2"/>
      <c r="G704" s="67"/>
      <c r="H704" s="67"/>
      <c r="I704" s="67"/>
      <c r="J704" s="67"/>
      <c r="K704" s="3"/>
      <c r="L704" s="3"/>
      <c r="M704" s="3"/>
      <c r="N704" s="3"/>
    </row>
    <row r="705" spans="4:14" ht="15.75" customHeight="1">
      <c r="D705" s="1"/>
      <c r="E705" s="2"/>
      <c r="F705" s="2"/>
      <c r="G705" s="67"/>
      <c r="H705" s="67"/>
      <c r="I705" s="67"/>
      <c r="J705" s="67"/>
      <c r="K705" s="3"/>
      <c r="L705" s="3"/>
      <c r="M705" s="3"/>
      <c r="N705" s="3"/>
    </row>
    <row r="706" spans="4:14" ht="15.75" customHeight="1">
      <c r="D706" s="1"/>
      <c r="E706" s="2"/>
      <c r="F706" s="2"/>
      <c r="G706" s="67"/>
      <c r="H706" s="67"/>
      <c r="I706" s="67"/>
      <c r="J706" s="67"/>
      <c r="K706" s="3"/>
      <c r="L706" s="3"/>
      <c r="M706" s="3"/>
      <c r="N706" s="3"/>
    </row>
    <row r="707" spans="4:14" ht="15.75" customHeight="1">
      <c r="D707" s="1"/>
      <c r="E707" s="2"/>
      <c r="F707" s="2"/>
      <c r="G707" s="67"/>
      <c r="H707" s="67"/>
      <c r="I707" s="67"/>
      <c r="J707" s="67"/>
      <c r="K707" s="3"/>
      <c r="L707" s="3"/>
      <c r="M707" s="3"/>
      <c r="N707" s="3"/>
    </row>
    <row r="708" spans="4:14" ht="15.75" customHeight="1">
      <c r="D708" s="1"/>
      <c r="E708" s="2"/>
      <c r="F708" s="2"/>
      <c r="G708" s="67"/>
      <c r="H708" s="67"/>
      <c r="I708" s="67"/>
      <c r="J708" s="67"/>
      <c r="K708" s="3"/>
      <c r="L708" s="3"/>
      <c r="M708" s="3"/>
      <c r="N708" s="3"/>
    </row>
    <row r="709" spans="4:14" ht="15.75" customHeight="1">
      <c r="D709" s="1"/>
      <c r="E709" s="2"/>
      <c r="F709" s="2"/>
      <c r="G709" s="67"/>
      <c r="H709" s="67"/>
      <c r="I709" s="67"/>
      <c r="J709" s="67"/>
      <c r="K709" s="3"/>
      <c r="L709" s="3"/>
      <c r="M709" s="3"/>
      <c r="N709" s="3"/>
    </row>
    <row r="710" spans="4:14" ht="15.75" customHeight="1">
      <c r="D710" s="1"/>
      <c r="E710" s="2"/>
      <c r="F710" s="2"/>
      <c r="G710" s="67"/>
      <c r="H710" s="67"/>
      <c r="I710" s="67"/>
      <c r="J710" s="67"/>
      <c r="K710" s="3"/>
      <c r="L710" s="3"/>
      <c r="M710" s="3"/>
      <c r="N710" s="3"/>
    </row>
    <row r="711" spans="4:14" ht="15.75" customHeight="1">
      <c r="D711" s="1"/>
      <c r="E711" s="2"/>
      <c r="F711" s="2"/>
      <c r="G711" s="67"/>
      <c r="H711" s="67"/>
      <c r="I711" s="67"/>
      <c r="J711" s="67"/>
      <c r="K711" s="3"/>
      <c r="L711" s="3"/>
      <c r="M711" s="3"/>
      <c r="N711" s="3"/>
    </row>
    <row r="712" spans="4:14" ht="15.75" customHeight="1">
      <c r="D712" s="1"/>
      <c r="E712" s="2"/>
      <c r="F712" s="2"/>
      <c r="G712" s="67"/>
      <c r="H712" s="67"/>
      <c r="I712" s="67"/>
      <c r="J712" s="67"/>
      <c r="K712" s="3"/>
      <c r="L712" s="3"/>
      <c r="M712" s="3"/>
      <c r="N712" s="3"/>
    </row>
    <row r="713" spans="4:14" ht="15.75" customHeight="1">
      <c r="D713" s="1"/>
      <c r="E713" s="2"/>
      <c r="F713" s="2"/>
      <c r="G713" s="67"/>
      <c r="H713" s="67"/>
      <c r="I713" s="67"/>
      <c r="J713" s="67"/>
      <c r="K713" s="3"/>
      <c r="L713" s="3"/>
      <c r="M713" s="3"/>
      <c r="N713" s="3"/>
    </row>
    <row r="714" spans="4:14" ht="15.75" customHeight="1">
      <c r="D714" s="1"/>
      <c r="E714" s="2"/>
      <c r="F714" s="2"/>
      <c r="G714" s="67"/>
      <c r="H714" s="67"/>
      <c r="I714" s="67"/>
      <c r="J714" s="67"/>
      <c r="K714" s="3"/>
      <c r="L714" s="3"/>
      <c r="M714" s="3"/>
      <c r="N714" s="3"/>
    </row>
    <row r="715" spans="4:14" ht="15.75" customHeight="1">
      <c r="D715" s="1"/>
      <c r="E715" s="2"/>
      <c r="F715" s="2"/>
      <c r="G715" s="67"/>
      <c r="H715" s="67"/>
      <c r="I715" s="67"/>
      <c r="J715" s="67"/>
      <c r="K715" s="3"/>
      <c r="L715" s="3"/>
      <c r="M715" s="3"/>
      <c r="N715" s="3"/>
    </row>
    <row r="716" spans="4:14" ht="15.75" customHeight="1">
      <c r="D716" s="1"/>
      <c r="E716" s="2"/>
      <c r="F716" s="2"/>
      <c r="G716" s="67"/>
      <c r="H716" s="67"/>
      <c r="I716" s="67"/>
      <c r="J716" s="67"/>
      <c r="K716" s="3"/>
      <c r="L716" s="3"/>
      <c r="M716" s="3"/>
      <c r="N716" s="3"/>
    </row>
    <row r="717" spans="4:14" ht="15.75" customHeight="1">
      <c r="D717" s="1"/>
      <c r="E717" s="2"/>
      <c r="F717" s="2"/>
      <c r="G717" s="67"/>
      <c r="H717" s="67"/>
      <c r="I717" s="67"/>
      <c r="J717" s="67"/>
      <c r="K717" s="3"/>
      <c r="L717" s="3"/>
      <c r="M717" s="3"/>
      <c r="N717" s="3"/>
    </row>
    <row r="718" spans="4:14" ht="15.75" customHeight="1">
      <c r="D718" s="1"/>
      <c r="E718" s="2"/>
      <c r="F718" s="2"/>
      <c r="G718" s="67"/>
      <c r="H718" s="67"/>
      <c r="I718" s="67"/>
      <c r="J718" s="67"/>
      <c r="K718" s="3"/>
      <c r="L718" s="3"/>
      <c r="M718" s="3"/>
      <c r="N718" s="3"/>
    </row>
    <row r="719" spans="4:14" ht="15.75" customHeight="1">
      <c r="D719" s="1"/>
      <c r="E719" s="2"/>
      <c r="F719" s="2"/>
      <c r="G719" s="67"/>
      <c r="H719" s="67"/>
      <c r="I719" s="67"/>
      <c r="J719" s="67"/>
      <c r="K719" s="3"/>
      <c r="L719" s="3"/>
      <c r="M719" s="3"/>
      <c r="N719" s="3"/>
    </row>
    <row r="720" spans="4:14" ht="15.75" customHeight="1">
      <c r="D720" s="1"/>
      <c r="E720" s="2"/>
      <c r="F720" s="2"/>
      <c r="G720" s="67"/>
      <c r="H720" s="67"/>
      <c r="I720" s="67"/>
      <c r="J720" s="67"/>
      <c r="K720" s="3"/>
      <c r="L720" s="3"/>
      <c r="M720" s="3"/>
      <c r="N720" s="3"/>
    </row>
    <row r="721" spans="4:14" ht="15.75" customHeight="1">
      <c r="D721" s="1"/>
      <c r="E721" s="2"/>
      <c r="F721" s="2"/>
      <c r="G721" s="67"/>
      <c r="H721" s="67"/>
      <c r="I721" s="67"/>
      <c r="J721" s="67"/>
      <c r="K721" s="3"/>
      <c r="L721" s="3"/>
      <c r="M721" s="3"/>
      <c r="N721" s="3"/>
    </row>
    <row r="722" spans="4:14" ht="15.75" customHeight="1">
      <c r="D722" s="1"/>
      <c r="E722" s="2"/>
      <c r="F722" s="2"/>
      <c r="G722" s="67"/>
      <c r="H722" s="67"/>
      <c r="I722" s="67"/>
      <c r="J722" s="67"/>
      <c r="K722" s="3"/>
      <c r="L722" s="3"/>
      <c r="M722" s="3"/>
      <c r="N722" s="3"/>
    </row>
    <row r="723" spans="4:14" ht="15.75" customHeight="1">
      <c r="D723" s="1"/>
      <c r="E723" s="2"/>
      <c r="F723" s="2"/>
      <c r="G723" s="67"/>
      <c r="H723" s="67"/>
      <c r="I723" s="67"/>
      <c r="J723" s="67"/>
      <c r="K723" s="3"/>
      <c r="L723" s="3"/>
      <c r="M723" s="3"/>
      <c r="N723" s="3"/>
    </row>
    <row r="724" spans="4:14" ht="15.75" customHeight="1">
      <c r="D724" s="1"/>
      <c r="E724" s="2"/>
      <c r="F724" s="2"/>
      <c r="G724" s="67"/>
      <c r="H724" s="67"/>
      <c r="I724" s="67"/>
      <c r="J724" s="67"/>
      <c r="K724" s="3"/>
      <c r="L724" s="3"/>
      <c r="M724" s="3"/>
      <c r="N724" s="3"/>
    </row>
    <row r="725" spans="4:14" ht="15.75" customHeight="1">
      <c r="D725" s="1"/>
      <c r="E725" s="2"/>
      <c r="F725" s="2"/>
      <c r="G725" s="67"/>
      <c r="H725" s="67"/>
      <c r="I725" s="67"/>
      <c r="J725" s="67"/>
      <c r="K725" s="3"/>
      <c r="L725" s="3"/>
      <c r="M725" s="3"/>
      <c r="N725" s="3"/>
    </row>
    <row r="726" spans="4:14" ht="15.75" customHeight="1">
      <c r="D726" s="1"/>
      <c r="E726" s="2"/>
      <c r="F726" s="2"/>
      <c r="G726" s="67"/>
      <c r="H726" s="67"/>
      <c r="I726" s="67"/>
      <c r="J726" s="67"/>
      <c r="K726" s="3"/>
      <c r="L726" s="3"/>
      <c r="M726" s="3"/>
      <c r="N726" s="3"/>
    </row>
    <row r="727" spans="4:14" ht="15.75" customHeight="1">
      <c r="D727" s="1"/>
      <c r="E727" s="2"/>
      <c r="F727" s="2"/>
      <c r="G727" s="67"/>
      <c r="H727" s="67"/>
      <c r="I727" s="67"/>
      <c r="J727" s="67"/>
      <c r="K727" s="3"/>
      <c r="L727" s="3"/>
      <c r="M727" s="3"/>
      <c r="N727" s="3"/>
    </row>
    <row r="728" spans="4:14" ht="15.75" customHeight="1">
      <c r="D728" s="1"/>
      <c r="E728" s="2"/>
      <c r="F728" s="2"/>
      <c r="G728" s="67"/>
      <c r="H728" s="67"/>
      <c r="I728" s="67"/>
      <c r="J728" s="67"/>
      <c r="K728" s="3"/>
      <c r="L728" s="3"/>
      <c r="M728" s="3"/>
      <c r="N728" s="3"/>
    </row>
    <row r="729" spans="4:14" ht="15.75" customHeight="1">
      <c r="D729" s="1"/>
      <c r="E729" s="2"/>
      <c r="F729" s="2"/>
      <c r="G729" s="67"/>
      <c r="H729" s="67"/>
      <c r="I729" s="67"/>
      <c r="J729" s="67"/>
      <c r="K729" s="3"/>
      <c r="L729" s="3"/>
      <c r="M729" s="3"/>
      <c r="N729" s="3"/>
    </row>
    <row r="730" spans="4:14" ht="15.75" customHeight="1">
      <c r="D730" s="1"/>
      <c r="E730" s="2"/>
      <c r="F730" s="2"/>
      <c r="G730" s="67"/>
      <c r="H730" s="67"/>
      <c r="I730" s="67"/>
      <c r="J730" s="67"/>
      <c r="K730" s="3"/>
      <c r="L730" s="3"/>
      <c r="M730" s="3"/>
      <c r="N730" s="3"/>
    </row>
    <row r="731" spans="4:14" ht="15.75" customHeight="1">
      <c r="D731" s="1"/>
      <c r="E731" s="2"/>
      <c r="F731" s="2"/>
      <c r="G731" s="67"/>
      <c r="H731" s="67"/>
      <c r="I731" s="67"/>
      <c r="J731" s="67"/>
      <c r="K731" s="3"/>
      <c r="L731" s="3"/>
      <c r="M731" s="3"/>
      <c r="N731" s="3"/>
    </row>
    <row r="732" spans="4:14" ht="15.75" customHeight="1">
      <c r="D732" s="1"/>
      <c r="E732" s="2"/>
      <c r="F732" s="2"/>
      <c r="G732" s="67"/>
      <c r="H732" s="67"/>
      <c r="I732" s="67"/>
      <c r="J732" s="67"/>
      <c r="K732" s="3"/>
      <c r="L732" s="3"/>
      <c r="M732" s="3"/>
      <c r="N732" s="3"/>
    </row>
    <row r="733" spans="4:14" ht="15.75" customHeight="1">
      <c r="D733" s="1"/>
      <c r="E733" s="2"/>
      <c r="F733" s="2"/>
      <c r="G733" s="67"/>
      <c r="H733" s="67"/>
      <c r="I733" s="67"/>
      <c r="J733" s="67"/>
      <c r="K733" s="3"/>
      <c r="L733" s="3"/>
      <c r="M733" s="3"/>
      <c r="N733" s="3"/>
    </row>
    <row r="734" spans="4:14" ht="15.75" customHeight="1">
      <c r="D734" s="1"/>
      <c r="E734" s="2"/>
      <c r="F734" s="2"/>
      <c r="G734" s="67"/>
      <c r="H734" s="67"/>
      <c r="I734" s="67"/>
      <c r="J734" s="67"/>
      <c r="K734" s="3"/>
      <c r="L734" s="3"/>
      <c r="M734" s="3"/>
      <c r="N734" s="3"/>
    </row>
    <row r="735" spans="4:14" ht="15.75" customHeight="1">
      <c r="D735" s="1"/>
      <c r="E735" s="2"/>
      <c r="F735" s="2"/>
      <c r="G735" s="67"/>
      <c r="H735" s="67"/>
      <c r="I735" s="67"/>
      <c r="J735" s="67"/>
      <c r="K735" s="3"/>
      <c r="L735" s="3"/>
      <c r="M735" s="3"/>
      <c r="N735" s="3"/>
    </row>
    <row r="736" spans="4:14" ht="15.75" customHeight="1">
      <c r="D736" s="1"/>
      <c r="E736" s="2"/>
      <c r="F736" s="2"/>
      <c r="G736" s="67"/>
      <c r="H736" s="67"/>
      <c r="I736" s="67"/>
      <c r="J736" s="67"/>
      <c r="K736" s="3"/>
      <c r="L736" s="3"/>
      <c r="M736" s="3"/>
      <c r="N736" s="3"/>
    </row>
    <row r="737" spans="4:14" ht="15.75" customHeight="1">
      <c r="D737" s="1"/>
      <c r="E737" s="2"/>
      <c r="F737" s="2"/>
      <c r="G737" s="67"/>
      <c r="H737" s="67"/>
      <c r="I737" s="67"/>
      <c r="J737" s="67"/>
      <c r="K737" s="3"/>
      <c r="L737" s="3"/>
      <c r="M737" s="3"/>
      <c r="N737" s="3"/>
    </row>
    <row r="738" spans="4:14" ht="15.75" customHeight="1">
      <c r="D738" s="1"/>
      <c r="E738" s="2"/>
      <c r="F738" s="2"/>
      <c r="G738" s="67"/>
      <c r="H738" s="67"/>
      <c r="I738" s="67"/>
      <c r="J738" s="67"/>
      <c r="K738" s="3"/>
      <c r="L738" s="3"/>
      <c r="M738" s="3"/>
      <c r="N738" s="3"/>
    </row>
    <row r="739" spans="4:14" ht="15.75" customHeight="1">
      <c r="D739" s="1"/>
      <c r="E739" s="2"/>
      <c r="F739" s="2"/>
      <c r="G739" s="67"/>
      <c r="H739" s="67"/>
      <c r="I739" s="67"/>
      <c r="J739" s="67"/>
      <c r="K739" s="3"/>
      <c r="L739" s="3"/>
      <c r="M739" s="3"/>
      <c r="N739" s="3"/>
    </row>
    <row r="740" spans="4:14" ht="15.75" customHeight="1">
      <c r="D740" s="1"/>
      <c r="E740" s="2"/>
      <c r="F740" s="2"/>
      <c r="G740" s="67"/>
      <c r="H740" s="67"/>
      <c r="I740" s="67"/>
      <c r="J740" s="67"/>
      <c r="K740" s="3"/>
      <c r="L740" s="3"/>
      <c r="M740" s="3"/>
      <c r="N740" s="3"/>
    </row>
    <row r="741" spans="4:14" ht="15.75" customHeight="1">
      <c r="D741" s="1"/>
      <c r="E741" s="2"/>
      <c r="F741" s="2"/>
      <c r="G741" s="67"/>
      <c r="H741" s="67"/>
      <c r="I741" s="67"/>
      <c r="J741" s="67"/>
      <c r="K741" s="3"/>
      <c r="L741" s="3"/>
      <c r="M741" s="3"/>
      <c r="N741" s="3"/>
    </row>
    <row r="742" spans="4:14" ht="15.75" customHeight="1">
      <c r="D742" s="1"/>
      <c r="E742" s="2"/>
      <c r="F742" s="2"/>
      <c r="G742" s="67"/>
      <c r="H742" s="67"/>
      <c r="I742" s="67"/>
      <c r="J742" s="67"/>
      <c r="K742" s="3"/>
      <c r="L742" s="3"/>
      <c r="M742" s="3"/>
      <c r="N742" s="3"/>
    </row>
    <row r="743" spans="4:14" ht="15.75" customHeight="1">
      <c r="D743" s="1"/>
      <c r="E743" s="2"/>
      <c r="F743" s="2"/>
      <c r="G743" s="67"/>
      <c r="H743" s="67"/>
      <c r="I743" s="67"/>
      <c r="J743" s="67"/>
      <c r="K743" s="3"/>
      <c r="L743" s="3"/>
      <c r="M743" s="3"/>
      <c r="N743" s="3"/>
    </row>
    <row r="744" spans="4:14" ht="15.75" customHeight="1">
      <c r="D744" s="1"/>
      <c r="E744" s="2"/>
      <c r="F744" s="2"/>
      <c r="G744" s="67"/>
      <c r="H744" s="67"/>
      <c r="I744" s="67"/>
      <c r="J744" s="67"/>
      <c r="K744" s="3"/>
      <c r="L744" s="3"/>
      <c r="M744" s="3"/>
      <c r="N744" s="3"/>
    </row>
    <row r="745" spans="4:14" ht="15.75" customHeight="1">
      <c r="D745" s="1"/>
      <c r="E745" s="2"/>
      <c r="F745" s="2"/>
      <c r="G745" s="67"/>
      <c r="H745" s="67"/>
      <c r="I745" s="67"/>
      <c r="J745" s="67"/>
      <c r="K745" s="3"/>
      <c r="L745" s="3"/>
      <c r="M745" s="3"/>
      <c r="N745" s="3"/>
    </row>
    <row r="746" spans="4:14" ht="15.75" customHeight="1">
      <c r="D746" s="1"/>
      <c r="E746" s="2"/>
      <c r="F746" s="2"/>
      <c r="G746" s="67"/>
      <c r="H746" s="67"/>
      <c r="I746" s="67"/>
      <c r="J746" s="67"/>
      <c r="K746" s="3"/>
      <c r="L746" s="3"/>
      <c r="M746" s="3"/>
      <c r="N746" s="3"/>
    </row>
    <row r="747" spans="4:14" ht="15.75" customHeight="1">
      <c r="D747" s="1"/>
      <c r="E747" s="2"/>
      <c r="F747" s="2"/>
      <c r="G747" s="67"/>
      <c r="H747" s="67"/>
      <c r="I747" s="67"/>
      <c r="J747" s="67"/>
      <c r="K747" s="3"/>
      <c r="L747" s="3"/>
      <c r="M747" s="3"/>
      <c r="N747" s="3"/>
    </row>
    <row r="748" spans="4:14" ht="15.75" customHeight="1">
      <c r="D748" s="1"/>
      <c r="E748" s="2"/>
      <c r="F748" s="2"/>
      <c r="G748" s="67"/>
      <c r="H748" s="67"/>
      <c r="I748" s="67"/>
      <c r="J748" s="67"/>
      <c r="K748" s="3"/>
      <c r="L748" s="3"/>
      <c r="M748" s="3"/>
      <c r="N748" s="3"/>
    </row>
    <row r="749" spans="4:14" ht="15.75" customHeight="1">
      <c r="D749" s="1"/>
      <c r="E749" s="2"/>
      <c r="F749" s="2"/>
      <c r="G749" s="67"/>
      <c r="H749" s="67"/>
      <c r="I749" s="67"/>
      <c r="J749" s="67"/>
      <c r="K749" s="3"/>
      <c r="L749" s="3"/>
      <c r="M749" s="3"/>
      <c r="N749" s="3"/>
    </row>
    <row r="750" spans="4:14" ht="15.75" customHeight="1">
      <c r="D750" s="1"/>
      <c r="E750" s="2"/>
      <c r="F750" s="2"/>
      <c r="G750" s="67"/>
      <c r="H750" s="67"/>
      <c r="I750" s="67"/>
      <c r="J750" s="67"/>
      <c r="K750" s="3"/>
      <c r="L750" s="3"/>
      <c r="M750" s="3"/>
      <c r="N750" s="3"/>
    </row>
    <row r="751" spans="4:14" ht="15.75" customHeight="1">
      <c r="D751" s="1"/>
      <c r="E751" s="2"/>
      <c r="F751" s="2"/>
      <c r="G751" s="67"/>
      <c r="H751" s="67"/>
      <c r="I751" s="67"/>
      <c r="J751" s="67"/>
      <c r="K751" s="3"/>
      <c r="L751" s="3"/>
      <c r="M751" s="3"/>
      <c r="N751" s="3"/>
    </row>
    <row r="752" spans="4:14" ht="15.75" customHeight="1">
      <c r="D752" s="1"/>
      <c r="E752" s="2"/>
      <c r="F752" s="2"/>
      <c r="G752" s="67"/>
      <c r="H752" s="67"/>
      <c r="I752" s="67"/>
      <c r="J752" s="67"/>
      <c r="K752" s="3"/>
      <c r="L752" s="3"/>
      <c r="M752" s="3"/>
      <c r="N752" s="3"/>
    </row>
    <row r="753" spans="4:14" ht="15.75" customHeight="1">
      <c r="D753" s="1"/>
      <c r="E753" s="2"/>
      <c r="F753" s="2"/>
      <c r="G753" s="67"/>
      <c r="H753" s="67"/>
      <c r="I753" s="67"/>
      <c r="J753" s="67"/>
      <c r="K753" s="3"/>
      <c r="L753" s="3"/>
      <c r="M753" s="3"/>
      <c r="N753" s="3"/>
    </row>
    <row r="754" spans="4:14" ht="15.75" customHeight="1">
      <c r="D754" s="1"/>
      <c r="E754" s="2"/>
      <c r="F754" s="2"/>
      <c r="G754" s="67"/>
      <c r="H754" s="67"/>
      <c r="I754" s="67"/>
      <c r="J754" s="67"/>
      <c r="K754" s="3"/>
      <c r="L754" s="3"/>
      <c r="M754" s="3"/>
      <c r="N754" s="3"/>
    </row>
    <row r="755" spans="4:14" ht="15.75" customHeight="1">
      <c r="D755" s="1"/>
      <c r="E755" s="2"/>
      <c r="F755" s="2"/>
      <c r="G755" s="67"/>
      <c r="H755" s="67"/>
      <c r="I755" s="67"/>
      <c r="J755" s="67"/>
      <c r="K755" s="3"/>
      <c r="L755" s="3"/>
      <c r="M755" s="3"/>
      <c r="N755" s="3"/>
    </row>
    <row r="756" spans="4:14" ht="15.75" customHeight="1">
      <c r="D756" s="1"/>
      <c r="E756" s="2"/>
      <c r="F756" s="2"/>
      <c r="G756" s="67"/>
      <c r="H756" s="67"/>
      <c r="I756" s="67"/>
      <c r="J756" s="67"/>
      <c r="K756" s="3"/>
      <c r="L756" s="3"/>
      <c r="M756" s="3"/>
      <c r="N756" s="3"/>
    </row>
    <row r="757" spans="4:14" ht="15.75" customHeight="1">
      <c r="D757" s="1"/>
      <c r="E757" s="2"/>
      <c r="F757" s="2"/>
      <c r="G757" s="67"/>
      <c r="H757" s="67"/>
      <c r="I757" s="67"/>
      <c r="J757" s="67"/>
      <c r="K757" s="3"/>
      <c r="L757" s="3"/>
      <c r="M757" s="3"/>
      <c r="N757" s="3"/>
    </row>
    <row r="758" spans="4:14" ht="15.75" customHeight="1">
      <c r="D758" s="1"/>
      <c r="E758" s="2"/>
      <c r="F758" s="2"/>
      <c r="G758" s="67"/>
      <c r="H758" s="67"/>
      <c r="I758" s="67"/>
      <c r="J758" s="67"/>
      <c r="K758" s="3"/>
      <c r="L758" s="3"/>
      <c r="M758" s="3"/>
      <c r="N758" s="3"/>
    </row>
    <row r="759" spans="4:14" ht="15.75" customHeight="1">
      <c r="D759" s="1"/>
      <c r="E759" s="2"/>
      <c r="F759" s="2"/>
      <c r="G759" s="67"/>
      <c r="H759" s="67"/>
      <c r="I759" s="67"/>
      <c r="J759" s="67"/>
      <c r="K759" s="3"/>
      <c r="L759" s="3"/>
      <c r="M759" s="3"/>
      <c r="N759" s="3"/>
    </row>
    <row r="760" spans="4:14" ht="15.75" customHeight="1">
      <c r="D760" s="1"/>
      <c r="E760" s="2"/>
      <c r="F760" s="2"/>
      <c r="G760" s="67"/>
      <c r="H760" s="67"/>
      <c r="I760" s="67"/>
      <c r="J760" s="67"/>
      <c r="K760" s="3"/>
      <c r="L760" s="3"/>
      <c r="M760" s="3"/>
      <c r="N760" s="3"/>
    </row>
    <row r="761" spans="4:14" ht="15.75" customHeight="1">
      <c r="D761" s="1"/>
      <c r="E761" s="2"/>
      <c r="F761" s="2"/>
      <c r="G761" s="67"/>
      <c r="H761" s="67"/>
      <c r="I761" s="67"/>
      <c r="J761" s="67"/>
      <c r="K761" s="3"/>
      <c r="L761" s="3"/>
      <c r="M761" s="3"/>
      <c r="N761" s="3"/>
    </row>
    <row r="762" spans="4:14" ht="15.75" customHeight="1">
      <c r="D762" s="1"/>
      <c r="E762" s="2"/>
      <c r="F762" s="2"/>
      <c r="G762" s="67"/>
      <c r="H762" s="67"/>
      <c r="I762" s="67"/>
      <c r="J762" s="67"/>
      <c r="K762" s="3"/>
      <c r="L762" s="3"/>
      <c r="M762" s="3"/>
      <c r="N762" s="3"/>
    </row>
    <row r="763" spans="4:14" ht="15.75" customHeight="1">
      <c r="D763" s="1"/>
      <c r="E763" s="2"/>
      <c r="F763" s="2"/>
      <c r="G763" s="67"/>
      <c r="H763" s="67"/>
      <c r="I763" s="67"/>
      <c r="J763" s="67"/>
      <c r="K763" s="3"/>
      <c r="L763" s="3"/>
      <c r="M763" s="3"/>
      <c r="N763" s="3"/>
    </row>
    <row r="764" spans="4:14" ht="15.75" customHeight="1">
      <c r="D764" s="1"/>
      <c r="E764" s="2"/>
      <c r="F764" s="2"/>
      <c r="G764" s="67"/>
      <c r="H764" s="67"/>
      <c r="I764" s="67"/>
      <c r="J764" s="67"/>
      <c r="K764" s="3"/>
      <c r="L764" s="3"/>
      <c r="M764" s="3"/>
      <c r="N764" s="3"/>
    </row>
    <row r="765" spans="4:14" ht="15.75" customHeight="1">
      <c r="D765" s="1"/>
      <c r="E765" s="2"/>
      <c r="F765" s="2"/>
      <c r="G765" s="67"/>
      <c r="H765" s="67"/>
      <c r="I765" s="67"/>
      <c r="J765" s="67"/>
      <c r="K765" s="3"/>
      <c r="L765" s="3"/>
      <c r="M765" s="3"/>
      <c r="N765" s="3"/>
    </row>
    <row r="766" spans="4:14" ht="15.75" customHeight="1">
      <c r="D766" s="1"/>
      <c r="E766" s="2"/>
      <c r="F766" s="2"/>
      <c r="G766" s="67"/>
      <c r="H766" s="67"/>
      <c r="I766" s="67"/>
      <c r="J766" s="67"/>
      <c r="K766" s="3"/>
      <c r="L766" s="3"/>
      <c r="M766" s="3"/>
      <c r="N766" s="3"/>
    </row>
    <row r="767" spans="4:14" ht="15.75" customHeight="1">
      <c r="D767" s="1"/>
      <c r="E767" s="2"/>
      <c r="F767" s="2"/>
      <c r="G767" s="67"/>
      <c r="H767" s="67"/>
      <c r="I767" s="67"/>
      <c r="J767" s="67"/>
      <c r="K767" s="3"/>
      <c r="L767" s="3"/>
      <c r="M767" s="3"/>
      <c r="N767" s="3"/>
    </row>
    <row r="768" spans="4:14" ht="15.75" customHeight="1">
      <c r="D768" s="1"/>
      <c r="E768" s="2"/>
      <c r="F768" s="2"/>
      <c r="G768" s="67"/>
      <c r="H768" s="67"/>
      <c r="I768" s="67"/>
      <c r="J768" s="67"/>
      <c r="K768" s="3"/>
      <c r="L768" s="3"/>
      <c r="M768" s="3"/>
      <c r="N768" s="3"/>
    </row>
    <row r="769" spans="4:14" ht="15.75" customHeight="1">
      <c r="D769" s="1"/>
      <c r="E769" s="2"/>
      <c r="F769" s="2"/>
      <c r="G769" s="67"/>
      <c r="H769" s="67"/>
      <c r="I769" s="67"/>
      <c r="J769" s="67"/>
      <c r="K769" s="3"/>
      <c r="L769" s="3"/>
      <c r="M769" s="3"/>
      <c r="N769" s="3"/>
    </row>
    <row r="770" spans="4:14" ht="15.75" customHeight="1">
      <c r="D770" s="1"/>
      <c r="E770" s="2"/>
      <c r="F770" s="2"/>
      <c r="G770" s="67"/>
      <c r="H770" s="67"/>
      <c r="I770" s="67"/>
      <c r="J770" s="67"/>
      <c r="K770" s="3"/>
      <c r="L770" s="3"/>
      <c r="M770" s="3"/>
      <c r="N770" s="3"/>
    </row>
    <row r="771" spans="4:14" ht="15.75" customHeight="1">
      <c r="D771" s="1"/>
      <c r="E771" s="2"/>
      <c r="F771" s="2"/>
      <c r="G771" s="67"/>
      <c r="H771" s="67"/>
      <c r="I771" s="67"/>
      <c r="J771" s="67"/>
      <c r="K771" s="3"/>
      <c r="L771" s="3"/>
      <c r="M771" s="3"/>
      <c r="N771" s="3"/>
    </row>
    <row r="772" spans="4:14" ht="15.75" customHeight="1">
      <c r="D772" s="1"/>
      <c r="E772" s="2"/>
      <c r="F772" s="2"/>
      <c r="G772" s="67"/>
      <c r="H772" s="67"/>
      <c r="I772" s="67"/>
      <c r="J772" s="67"/>
      <c r="K772" s="3"/>
      <c r="L772" s="3"/>
      <c r="M772" s="3"/>
      <c r="N772" s="3"/>
    </row>
    <row r="773" spans="4:14" ht="15.75" customHeight="1">
      <c r="D773" s="1"/>
      <c r="E773" s="2"/>
      <c r="F773" s="2"/>
      <c r="G773" s="67"/>
      <c r="H773" s="67"/>
      <c r="I773" s="67"/>
      <c r="J773" s="67"/>
      <c r="K773" s="3"/>
      <c r="L773" s="3"/>
      <c r="M773" s="3"/>
      <c r="N773" s="3"/>
    </row>
    <row r="774" spans="4:14" ht="15.75" customHeight="1">
      <c r="D774" s="1"/>
      <c r="E774" s="2"/>
      <c r="F774" s="2"/>
      <c r="G774" s="67"/>
      <c r="H774" s="67"/>
      <c r="I774" s="67"/>
      <c r="J774" s="67"/>
      <c r="K774" s="3"/>
      <c r="L774" s="3"/>
      <c r="M774" s="3"/>
      <c r="N774" s="3"/>
    </row>
    <row r="775" spans="4:14" ht="15.75" customHeight="1">
      <c r="D775" s="1"/>
      <c r="E775" s="2"/>
      <c r="F775" s="2"/>
      <c r="G775" s="67"/>
      <c r="H775" s="67"/>
      <c r="I775" s="67"/>
      <c r="J775" s="67"/>
      <c r="K775" s="3"/>
      <c r="L775" s="3"/>
      <c r="M775" s="3"/>
      <c r="N775" s="3"/>
    </row>
    <row r="776" spans="4:14" ht="15.75" customHeight="1">
      <c r="D776" s="1"/>
      <c r="E776" s="2"/>
      <c r="F776" s="2"/>
      <c r="G776" s="67"/>
      <c r="H776" s="67"/>
      <c r="I776" s="67"/>
      <c r="J776" s="67"/>
      <c r="K776" s="3"/>
      <c r="L776" s="3"/>
      <c r="M776" s="3"/>
      <c r="N776" s="3"/>
    </row>
    <row r="777" spans="4:14" ht="15.75" customHeight="1">
      <c r="D777" s="1"/>
      <c r="E777" s="2"/>
      <c r="F777" s="2"/>
      <c r="G777" s="67"/>
      <c r="H777" s="67"/>
      <c r="I777" s="67"/>
      <c r="J777" s="67"/>
      <c r="K777" s="3"/>
      <c r="L777" s="3"/>
      <c r="M777" s="3"/>
      <c r="N777" s="3"/>
    </row>
    <row r="778" spans="4:14" ht="15.75" customHeight="1">
      <c r="D778" s="1"/>
      <c r="E778" s="2"/>
      <c r="F778" s="2"/>
      <c r="G778" s="67"/>
      <c r="H778" s="67"/>
      <c r="I778" s="67"/>
      <c r="J778" s="67"/>
      <c r="K778" s="3"/>
      <c r="L778" s="3"/>
      <c r="M778" s="3"/>
      <c r="N778" s="3"/>
    </row>
    <row r="779" spans="4:14" ht="15.75" customHeight="1">
      <c r="D779" s="1"/>
      <c r="E779" s="2"/>
      <c r="F779" s="2"/>
      <c r="G779" s="67"/>
      <c r="H779" s="67"/>
      <c r="I779" s="67"/>
      <c r="J779" s="67"/>
      <c r="K779" s="3"/>
      <c r="L779" s="3"/>
      <c r="M779" s="3"/>
      <c r="N779" s="3"/>
    </row>
    <row r="780" spans="4:14" ht="15.75" customHeight="1">
      <c r="D780" s="1"/>
      <c r="E780" s="2"/>
      <c r="F780" s="2"/>
      <c r="G780" s="67"/>
      <c r="H780" s="67"/>
      <c r="I780" s="67"/>
      <c r="J780" s="67"/>
      <c r="K780" s="3"/>
      <c r="L780" s="3"/>
      <c r="M780" s="3"/>
      <c r="N780" s="3"/>
    </row>
    <row r="781" spans="4:14" ht="15.75" customHeight="1">
      <c r="D781" s="1"/>
      <c r="E781" s="2"/>
      <c r="F781" s="2"/>
      <c r="G781" s="67"/>
      <c r="H781" s="67"/>
      <c r="I781" s="67"/>
      <c r="J781" s="67"/>
      <c r="K781" s="3"/>
      <c r="L781" s="3"/>
      <c r="M781" s="3"/>
      <c r="N781" s="3"/>
    </row>
    <row r="782" spans="4:14" ht="15.75" customHeight="1">
      <c r="D782" s="1"/>
      <c r="E782" s="2"/>
      <c r="F782" s="2"/>
      <c r="G782" s="67"/>
      <c r="H782" s="67"/>
      <c r="I782" s="67"/>
      <c r="J782" s="67"/>
      <c r="K782" s="3"/>
      <c r="L782" s="3"/>
      <c r="M782" s="3"/>
      <c r="N782" s="3"/>
    </row>
    <row r="783" spans="4:14" ht="15.75" customHeight="1">
      <c r="D783" s="1"/>
      <c r="E783" s="2"/>
      <c r="F783" s="2"/>
      <c r="G783" s="67"/>
      <c r="H783" s="67"/>
      <c r="I783" s="67"/>
      <c r="J783" s="67"/>
      <c r="K783" s="3"/>
      <c r="L783" s="3"/>
      <c r="M783" s="3"/>
      <c r="N783" s="3"/>
    </row>
    <row r="784" spans="4:14" ht="15.75" customHeight="1">
      <c r="D784" s="1"/>
      <c r="E784" s="2"/>
      <c r="F784" s="2"/>
      <c r="G784" s="67"/>
      <c r="H784" s="67"/>
      <c r="I784" s="67"/>
      <c r="J784" s="67"/>
      <c r="K784" s="3"/>
      <c r="L784" s="3"/>
      <c r="M784" s="3"/>
      <c r="N784" s="3"/>
    </row>
    <row r="785" spans="4:14" ht="15.75" customHeight="1">
      <c r="D785" s="1"/>
      <c r="E785" s="2"/>
      <c r="F785" s="2"/>
      <c r="G785" s="67"/>
      <c r="H785" s="67"/>
      <c r="I785" s="67"/>
      <c r="J785" s="67"/>
      <c r="K785" s="3"/>
      <c r="L785" s="3"/>
      <c r="M785" s="3"/>
      <c r="N785" s="3"/>
    </row>
    <row r="786" spans="4:14" ht="15.75" customHeight="1">
      <c r="D786" s="1"/>
      <c r="E786" s="2"/>
      <c r="F786" s="2"/>
      <c r="G786" s="67"/>
      <c r="H786" s="67"/>
      <c r="I786" s="67"/>
      <c r="J786" s="67"/>
      <c r="K786" s="3"/>
      <c r="L786" s="3"/>
      <c r="M786" s="3"/>
      <c r="N786" s="3"/>
    </row>
    <row r="787" spans="4:14" ht="15.75" customHeight="1">
      <c r="D787" s="1"/>
      <c r="E787" s="2"/>
      <c r="F787" s="2"/>
      <c r="G787" s="67"/>
      <c r="H787" s="67"/>
      <c r="I787" s="67"/>
      <c r="J787" s="67"/>
      <c r="K787" s="3"/>
      <c r="L787" s="3"/>
      <c r="M787" s="3"/>
      <c r="N787" s="3"/>
    </row>
    <row r="788" spans="4:14" ht="15.75" customHeight="1">
      <c r="D788" s="1"/>
      <c r="E788" s="2"/>
      <c r="F788" s="2"/>
      <c r="G788" s="67"/>
      <c r="H788" s="67"/>
      <c r="I788" s="67"/>
      <c r="J788" s="67"/>
      <c r="K788" s="3"/>
      <c r="L788" s="3"/>
      <c r="M788" s="3"/>
      <c r="N788" s="3"/>
    </row>
    <row r="789" spans="4:14" ht="15.75" customHeight="1">
      <c r="D789" s="1"/>
      <c r="E789" s="2"/>
      <c r="F789" s="2"/>
      <c r="G789" s="67"/>
      <c r="H789" s="67"/>
      <c r="I789" s="67"/>
      <c r="J789" s="67"/>
      <c r="K789" s="3"/>
      <c r="L789" s="3"/>
      <c r="M789" s="3"/>
      <c r="N789" s="3"/>
    </row>
    <row r="790" spans="4:14" ht="15.75" customHeight="1">
      <c r="D790" s="1"/>
      <c r="E790" s="2"/>
      <c r="F790" s="2"/>
      <c r="G790" s="67"/>
      <c r="H790" s="67"/>
      <c r="I790" s="67"/>
      <c r="J790" s="67"/>
      <c r="K790" s="3"/>
      <c r="L790" s="3"/>
      <c r="M790" s="3"/>
      <c r="N790" s="3"/>
    </row>
    <row r="791" spans="4:14" ht="15.75" customHeight="1">
      <c r="D791" s="1"/>
      <c r="E791" s="2"/>
      <c r="F791" s="2"/>
      <c r="G791" s="67"/>
      <c r="H791" s="67"/>
      <c r="I791" s="67"/>
      <c r="J791" s="67"/>
      <c r="K791" s="3"/>
      <c r="L791" s="3"/>
      <c r="M791" s="3"/>
      <c r="N791" s="3"/>
    </row>
    <row r="792" spans="4:14" ht="15.75" customHeight="1">
      <c r="D792" s="1"/>
      <c r="E792" s="2"/>
      <c r="F792" s="2"/>
      <c r="G792" s="67"/>
      <c r="H792" s="67"/>
      <c r="I792" s="67"/>
      <c r="J792" s="67"/>
      <c r="K792" s="3"/>
      <c r="L792" s="3"/>
      <c r="M792" s="3"/>
      <c r="N792" s="3"/>
    </row>
    <row r="793" spans="4:14" ht="15.75" customHeight="1">
      <c r="D793" s="1"/>
      <c r="E793" s="2"/>
      <c r="F793" s="2"/>
      <c r="G793" s="67"/>
      <c r="H793" s="67"/>
      <c r="I793" s="67"/>
      <c r="J793" s="67"/>
      <c r="K793" s="3"/>
      <c r="L793" s="3"/>
      <c r="M793" s="3"/>
      <c r="N793" s="3"/>
    </row>
    <row r="794" spans="4:14" ht="15.75" customHeight="1">
      <c r="D794" s="1"/>
      <c r="E794" s="2"/>
      <c r="F794" s="2"/>
      <c r="G794" s="67"/>
      <c r="H794" s="67"/>
      <c r="I794" s="67"/>
      <c r="J794" s="67"/>
      <c r="K794" s="3"/>
      <c r="L794" s="3"/>
      <c r="M794" s="3"/>
      <c r="N794" s="3"/>
    </row>
    <row r="795" spans="4:14" ht="15.75" customHeight="1">
      <c r="D795" s="1"/>
      <c r="E795" s="2"/>
      <c r="F795" s="2"/>
      <c r="G795" s="67"/>
      <c r="H795" s="67"/>
      <c r="I795" s="67"/>
      <c r="J795" s="67"/>
      <c r="K795" s="3"/>
      <c r="L795" s="3"/>
      <c r="M795" s="3"/>
      <c r="N795" s="3"/>
    </row>
    <row r="796" spans="4:14" ht="15.75" customHeight="1">
      <c r="D796" s="1"/>
      <c r="E796" s="2"/>
      <c r="F796" s="2"/>
      <c r="G796" s="67"/>
      <c r="H796" s="67"/>
      <c r="I796" s="67"/>
      <c r="J796" s="67"/>
      <c r="K796" s="3"/>
      <c r="L796" s="3"/>
      <c r="M796" s="3"/>
      <c r="N796" s="3"/>
    </row>
    <row r="797" spans="4:14" ht="15.75" customHeight="1">
      <c r="D797" s="1"/>
      <c r="E797" s="2"/>
      <c r="F797" s="2"/>
      <c r="G797" s="67"/>
      <c r="H797" s="67"/>
      <c r="I797" s="67"/>
      <c r="J797" s="67"/>
      <c r="K797" s="3"/>
      <c r="L797" s="3"/>
      <c r="M797" s="3"/>
      <c r="N797" s="3"/>
    </row>
    <row r="798" spans="4:14" ht="15.75" customHeight="1">
      <c r="D798" s="1"/>
      <c r="E798" s="2"/>
      <c r="F798" s="2"/>
      <c r="G798" s="67"/>
      <c r="H798" s="67"/>
      <c r="I798" s="67"/>
      <c r="J798" s="67"/>
      <c r="K798" s="3"/>
      <c r="L798" s="3"/>
      <c r="M798" s="3"/>
      <c r="N798" s="3"/>
    </row>
    <row r="799" spans="4:14" ht="15.75" customHeight="1">
      <c r="D799" s="1"/>
      <c r="E799" s="2"/>
      <c r="F799" s="2"/>
      <c r="G799" s="67"/>
      <c r="H799" s="67"/>
      <c r="I799" s="67"/>
      <c r="J799" s="67"/>
      <c r="K799" s="3"/>
      <c r="L799" s="3"/>
      <c r="M799" s="3"/>
      <c r="N799" s="3"/>
    </row>
    <row r="800" spans="4:14" ht="15.75" customHeight="1">
      <c r="D800" s="1"/>
      <c r="E800" s="2"/>
      <c r="F800" s="2"/>
      <c r="G800" s="67"/>
      <c r="H800" s="67"/>
      <c r="I800" s="67"/>
      <c r="J800" s="67"/>
      <c r="K800" s="3"/>
      <c r="L800" s="3"/>
      <c r="M800" s="3"/>
      <c r="N800" s="3"/>
    </row>
    <row r="801" spans="4:14" ht="15.75" customHeight="1">
      <c r="D801" s="1"/>
      <c r="E801" s="2"/>
      <c r="F801" s="2"/>
      <c r="G801" s="67"/>
      <c r="H801" s="67"/>
      <c r="I801" s="67"/>
      <c r="J801" s="67"/>
      <c r="K801" s="3"/>
      <c r="L801" s="3"/>
      <c r="M801" s="3"/>
      <c r="N801" s="3"/>
    </row>
    <row r="802" spans="4:14" ht="15.75" customHeight="1">
      <c r="D802" s="1"/>
      <c r="E802" s="2"/>
      <c r="F802" s="2"/>
      <c r="G802" s="67"/>
      <c r="H802" s="67"/>
      <c r="I802" s="67"/>
      <c r="J802" s="67"/>
      <c r="K802" s="3"/>
      <c r="L802" s="3"/>
      <c r="M802" s="3"/>
      <c r="N802" s="3"/>
    </row>
    <row r="803" spans="4:14" ht="15.75" customHeight="1">
      <c r="D803" s="1"/>
      <c r="E803" s="2"/>
      <c r="F803" s="2"/>
      <c r="G803" s="67"/>
      <c r="H803" s="67"/>
      <c r="I803" s="67"/>
      <c r="J803" s="67"/>
      <c r="K803" s="3"/>
      <c r="L803" s="3"/>
      <c r="M803" s="3"/>
      <c r="N803" s="3"/>
    </row>
    <row r="804" spans="4:14" ht="15.75" customHeight="1">
      <c r="D804" s="1"/>
      <c r="E804" s="2"/>
      <c r="F804" s="2"/>
      <c r="G804" s="67"/>
      <c r="H804" s="67"/>
      <c r="I804" s="67"/>
      <c r="J804" s="67"/>
      <c r="K804" s="3"/>
      <c r="L804" s="3"/>
      <c r="M804" s="3"/>
      <c r="N804" s="3"/>
    </row>
    <row r="805" spans="4:14" ht="15.75" customHeight="1">
      <c r="D805" s="1"/>
      <c r="E805" s="2"/>
      <c r="F805" s="2"/>
      <c r="G805" s="67"/>
      <c r="H805" s="67"/>
      <c r="I805" s="67"/>
      <c r="J805" s="67"/>
      <c r="K805" s="3"/>
      <c r="L805" s="3"/>
      <c r="M805" s="3"/>
      <c r="N805" s="3"/>
    </row>
    <row r="806" spans="4:14" ht="15.75" customHeight="1">
      <c r="D806" s="1"/>
      <c r="E806" s="2"/>
      <c r="F806" s="2"/>
      <c r="G806" s="67"/>
      <c r="H806" s="67"/>
      <c r="I806" s="67"/>
      <c r="J806" s="67"/>
      <c r="K806" s="3"/>
      <c r="L806" s="3"/>
      <c r="M806" s="3"/>
      <c r="N806" s="3"/>
    </row>
    <row r="807" spans="4:14" ht="15.75" customHeight="1">
      <c r="D807" s="1"/>
      <c r="E807" s="2"/>
      <c r="F807" s="2"/>
      <c r="G807" s="67"/>
      <c r="H807" s="67"/>
      <c r="I807" s="67"/>
      <c r="J807" s="67"/>
      <c r="K807" s="3"/>
      <c r="L807" s="3"/>
      <c r="M807" s="3"/>
      <c r="N807" s="3"/>
    </row>
    <row r="808" spans="4:14" ht="15.75" customHeight="1">
      <c r="D808" s="1"/>
      <c r="E808" s="2"/>
      <c r="F808" s="2"/>
      <c r="G808" s="67"/>
      <c r="H808" s="67"/>
      <c r="I808" s="67"/>
      <c r="J808" s="67"/>
      <c r="K808" s="3"/>
      <c r="L808" s="3"/>
      <c r="M808" s="3"/>
      <c r="N808" s="3"/>
    </row>
    <row r="809" spans="4:14" ht="15.75" customHeight="1">
      <c r="D809" s="1"/>
      <c r="E809" s="2"/>
      <c r="F809" s="2"/>
      <c r="G809" s="67"/>
      <c r="H809" s="67"/>
      <c r="I809" s="67"/>
      <c r="J809" s="67"/>
      <c r="K809" s="3"/>
      <c r="L809" s="3"/>
      <c r="M809" s="3"/>
      <c r="N809" s="3"/>
    </row>
    <row r="810" spans="4:14" ht="15.75" customHeight="1">
      <c r="D810" s="1"/>
      <c r="E810" s="2"/>
      <c r="F810" s="2"/>
      <c r="G810" s="67"/>
      <c r="H810" s="67"/>
      <c r="I810" s="67"/>
      <c r="J810" s="67"/>
      <c r="K810" s="3"/>
      <c r="L810" s="3"/>
      <c r="M810" s="3"/>
      <c r="N810" s="3"/>
    </row>
    <row r="811" spans="4:14" ht="15.75" customHeight="1">
      <c r="D811" s="1"/>
      <c r="E811" s="2"/>
      <c r="F811" s="2"/>
      <c r="G811" s="67"/>
      <c r="H811" s="67"/>
      <c r="I811" s="67"/>
      <c r="J811" s="67"/>
      <c r="K811" s="3"/>
      <c r="L811" s="3"/>
      <c r="M811" s="3"/>
      <c r="N811" s="3"/>
    </row>
    <row r="812" spans="4:14" ht="15.75" customHeight="1">
      <c r="D812" s="1"/>
      <c r="E812" s="2"/>
      <c r="F812" s="2"/>
      <c r="G812" s="67"/>
      <c r="H812" s="67"/>
      <c r="I812" s="67"/>
      <c r="J812" s="67"/>
      <c r="K812" s="3"/>
      <c r="L812" s="3"/>
      <c r="M812" s="3"/>
      <c r="N812" s="3"/>
    </row>
    <row r="813" spans="4:14" ht="15.75" customHeight="1">
      <c r="D813" s="1"/>
      <c r="E813" s="2"/>
      <c r="F813" s="2"/>
      <c r="G813" s="67"/>
      <c r="H813" s="67"/>
      <c r="I813" s="67"/>
      <c r="J813" s="67"/>
      <c r="K813" s="3"/>
      <c r="L813" s="3"/>
      <c r="M813" s="3"/>
      <c r="N813" s="3"/>
    </row>
    <row r="814" spans="4:14" ht="15.75" customHeight="1">
      <c r="D814" s="1"/>
      <c r="E814" s="2"/>
      <c r="F814" s="2"/>
      <c r="G814" s="67"/>
      <c r="H814" s="67"/>
      <c r="I814" s="67"/>
      <c r="J814" s="67"/>
      <c r="K814" s="3"/>
      <c r="L814" s="3"/>
      <c r="M814" s="3"/>
      <c r="N814" s="3"/>
    </row>
    <row r="815" spans="4:14" ht="15.75" customHeight="1">
      <c r="D815" s="1"/>
      <c r="E815" s="2"/>
      <c r="F815" s="2"/>
      <c r="G815" s="67"/>
      <c r="H815" s="67"/>
      <c r="I815" s="67"/>
      <c r="J815" s="67"/>
      <c r="K815" s="3"/>
      <c r="L815" s="3"/>
      <c r="M815" s="3"/>
      <c r="N815" s="3"/>
    </row>
    <row r="816" spans="4:14" ht="15.75" customHeight="1">
      <c r="D816" s="1"/>
      <c r="E816" s="2"/>
      <c r="F816" s="2"/>
      <c r="G816" s="67"/>
      <c r="H816" s="67"/>
      <c r="I816" s="67"/>
      <c r="J816" s="67"/>
      <c r="K816" s="3"/>
      <c r="L816" s="3"/>
      <c r="M816" s="3"/>
      <c r="N816" s="3"/>
    </row>
    <row r="817" spans="4:14" ht="15.75" customHeight="1">
      <c r="D817" s="1"/>
      <c r="E817" s="2"/>
      <c r="F817" s="2"/>
      <c r="G817" s="67"/>
      <c r="H817" s="67"/>
      <c r="I817" s="67"/>
      <c r="J817" s="67"/>
      <c r="K817" s="3"/>
      <c r="L817" s="3"/>
      <c r="M817" s="3"/>
      <c r="N817" s="3"/>
    </row>
    <row r="818" spans="4:14" ht="15.75" customHeight="1">
      <c r="D818" s="1"/>
      <c r="E818" s="2"/>
      <c r="F818" s="2"/>
      <c r="G818" s="67"/>
      <c r="H818" s="67"/>
      <c r="I818" s="67"/>
      <c r="J818" s="67"/>
      <c r="K818" s="3"/>
      <c r="L818" s="3"/>
      <c r="M818" s="3"/>
      <c r="N818" s="3"/>
    </row>
    <row r="819" spans="4:14" ht="15.75" customHeight="1">
      <c r="D819" s="1"/>
      <c r="E819" s="2"/>
      <c r="F819" s="2"/>
      <c r="G819" s="67"/>
      <c r="H819" s="67"/>
      <c r="I819" s="67"/>
      <c r="J819" s="67"/>
      <c r="K819" s="3"/>
      <c r="L819" s="3"/>
      <c r="M819" s="3"/>
      <c r="N819" s="3"/>
    </row>
    <row r="820" spans="4:14" ht="15.75" customHeight="1">
      <c r="D820" s="1"/>
      <c r="E820" s="2"/>
      <c r="F820" s="2"/>
      <c r="G820" s="67"/>
      <c r="H820" s="67"/>
      <c r="I820" s="67"/>
      <c r="J820" s="67"/>
      <c r="K820" s="3"/>
      <c r="L820" s="3"/>
      <c r="M820" s="3"/>
      <c r="N820" s="3"/>
    </row>
    <row r="821" spans="4:14" ht="15.75" customHeight="1">
      <c r="D821" s="1"/>
      <c r="E821" s="2"/>
      <c r="F821" s="2"/>
      <c r="G821" s="67"/>
      <c r="H821" s="67"/>
      <c r="I821" s="67"/>
      <c r="J821" s="67"/>
      <c r="K821" s="3"/>
      <c r="L821" s="3"/>
      <c r="M821" s="3"/>
      <c r="N821" s="3"/>
    </row>
    <row r="822" spans="4:14" ht="15.75" customHeight="1">
      <c r="D822" s="1"/>
      <c r="E822" s="2"/>
      <c r="F822" s="2"/>
      <c r="G822" s="67"/>
      <c r="H822" s="67"/>
      <c r="I822" s="67"/>
      <c r="J822" s="67"/>
      <c r="K822" s="3"/>
      <c r="L822" s="3"/>
      <c r="M822" s="3"/>
      <c r="N822" s="3"/>
    </row>
    <row r="823" spans="4:14" ht="15.75" customHeight="1">
      <c r="D823" s="1"/>
      <c r="E823" s="2"/>
      <c r="F823" s="2"/>
      <c r="G823" s="67"/>
      <c r="H823" s="67"/>
      <c r="I823" s="67"/>
      <c r="J823" s="67"/>
      <c r="K823" s="3"/>
      <c r="L823" s="3"/>
      <c r="M823" s="3"/>
      <c r="N823" s="3"/>
    </row>
    <row r="824" spans="4:14" ht="15.75" customHeight="1">
      <c r="D824" s="1"/>
      <c r="E824" s="2"/>
      <c r="F824" s="2"/>
      <c r="G824" s="67"/>
      <c r="H824" s="67"/>
      <c r="I824" s="67"/>
      <c r="J824" s="67"/>
      <c r="K824" s="3"/>
      <c r="L824" s="3"/>
      <c r="M824" s="3"/>
      <c r="N824" s="3"/>
    </row>
    <row r="825" spans="4:14" ht="15.75" customHeight="1">
      <c r="D825" s="1"/>
      <c r="E825" s="2"/>
      <c r="F825" s="2"/>
      <c r="G825" s="67"/>
      <c r="H825" s="67"/>
      <c r="I825" s="67"/>
      <c r="J825" s="67"/>
      <c r="K825" s="3"/>
      <c r="L825" s="3"/>
      <c r="M825" s="3"/>
      <c r="N825" s="3"/>
    </row>
    <row r="826" spans="4:14" ht="15.75" customHeight="1">
      <c r="D826" s="1"/>
      <c r="E826" s="2"/>
      <c r="F826" s="2"/>
      <c r="G826" s="67"/>
      <c r="H826" s="67"/>
      <c r="I826" s="67"/>
      <c r="J826" s="67"/>
      <c r="K826" s="3"/>
      <c r="L826" s="3"/>
      <c r="M826" s="3"/>
      <c r="N826" s="3"/>
    </row>
    <row r="827" spans="4:14" ht="15.75" customHeight="1">
      <c r="D827" s="1"/>
      <c r="E827" s="2"/>
      <c r="F827" s="2"/>
      <c r="G827" s="67"/>
      <c r="H827" s="67"/>
      <c r="I827" s="67"/>
      <c r="J827" s="67"/>
      <c r="K827" s="3"/>
      <c r="L827" s="3"/>
      <c r="M827" s="3"/>
      <c r="N827" s="3"/>
    </row>
    <row r="828" spans="4:14" ht="15.75" customHeight="1">
      <c r="D828" s="1"/>
      <c r="E828" s="2"/>
      <c r="F828" s="2"/>
      <c r="G828" s="67"/>
      <c r="H828" s="67"/>
      <c r="I828" s="67"/>
      <c r="J828" s="67"/>
      <c r="K828" s="3"/>
      <c r="L828" s="3"/>
      <c r="M828" s="3"/>
      <c r="N828" s="3"/>
    </row>
    <row r="829" spans="4:14" ht="15.75" customHeight="1">
      <c r="D829" s="1"/>
      <c r="E829" s="2"/>
      <c r="F829" s="2"/>
      <c r="G829" s="67"/>
      <c r="H829" s="67"/>
      <c r="I829" s="67"/>
      <c r="J829" s="67"/>
      <c r="K829" s="3"/>
      <c r="L829" s="3"/>
      <c r="M829" s="3"/>
      <c r="N829" s="3"/>
    </row>
    <row r="830" spans="4:14" ht="15.75" customHeight="1">
      <c r="D830" s="1"/>
      <c r="E830" s="2"/>
      <c r="F830" s="2"/>
      <c r="G830" s="67"/>
      <c r="H830" s="67"/>
      <c r="I830" s="67"/>
      <c r="J830" s="67"/>
      <c r="K830" s="3"/>
      <c r="L830" s="3"/>
      <c r="M830" s="3"/>
      <c r="N830" s="3"/>
    </row>
    <row r="831" spans="4:14" ht="15.75" customHeight="1">
      <c r="D831" s="1"/>
      <c r="E831" s="2"/>
      <c r="F831" s="2"/>
      <c r="G831" s="67"/>
      <c r="H831" s="67"/>
      <c r="I831" s="67"/>
      <c r="J831" s="67"/>
      <c r="K831" s="3"/>
      <c r="L831" s="3"/>
      <c r="M831" s="3"/>
      <c r="N831" s="3"/>
    </row>
    <row r="832" spans="4:14" ht="15.75" customHeight="1">
      <c r="D832" s="1"/>
      <c r="E832" s="2"/>
      <c r="F832" s="2"/>
      <c r="G832" s="67"/>
      <c r="H832" s="67"/>
      <c r="I832" s="67"/>
      <c r="J832" s="67"/>
      <c r="K832" s="3"/>
      <c r="L832" s="3"/>
      <c r="M832" s="3"/>
      <c r="N832" s="3"/>
    </row>
    <row r="833" spans="4:14" ht="15.75" customHeight="1">
      <c r="D833" s="1"/>
      <c r="E833" s="2"/>
      <c r="F833" s="2"/>
      <c r="G833" s="67"/>
      <c r="H833" s="67"/>
      <c r="I833" s="67"/>
      <c r="J833" s="67"/>
      <c r="K833" s="3"/>
      <c r="L833" s="3"/>
      <c r="M833" s="3"/>
      <c r="N833" s="3"/>
    </row>
    <row r="834" spans="4:14" ht="15.75" customHeight="1">
      <c r="D834" s="1"/>
      <c r="E834" s="2"/>
      <c r="F834" s="2"/>
      <c r="G834" s="67"/>
      <c r="H834" s="67"/>
      <c r="I834" s="67"/>
      <c r="J834" s="67"/>
      <c r="K834" s="3"/>
      <c r="L834" s="3"/>
      <c r="M834" s="3"/>
      <c r="N834" s="3"/>
    </row>
    <row r="835" spans="4:14" ht="15.75" customHeight="1">
      <c r="D835" s="1"/>
      <c r="E835" s="2"/>
      <c r="F835" s="2"/>
      <c r="G835" s="67"/>
      <c r="H835" s="67"/>
      <c r="I835" s="67"/>
      <c r="J835" s="67"/>
      <c r="K835" s="3"/>
      <c r="L835" s="3"/>
      <c r="M835" s="3"/>
      <c r="N835" s="3"/>
    </row>
    <row r="836" spans="4:14" ht="15.75" customHeight="1">
      <c r="D836" s="1"/>
      <c r="E836" s="2"/>
      <c r="F836" s="2"/>
      <c r="G836" s="67"/>
      <c r="H836" s="67"/>
      <c r="I836" s="67"/>
      <c r="J836" s="67"/>
      <c r="K836" s="3"/>
      <c r="L836" s="3"/>
      <c r="M836" s="3"/>
      <c r="N836" s="3"/>
    </row>
    <row r="837" spans="4:14" ht="15.75" customHeight="1">
      <c r="D837" s="1"/>
      <c r="E837" s="2"/>
      <c r="F837" s="2"/>
      <c r="G837" s="67"/>
      <c r="H837" s="67"/>
      <c r="I837" s="67"/>
      <c r="J837" s="67"/>
      <c r="K837" s="3"/>
      <c r="L837" s="3"/>
      <c r="M837" s="3"/>
      <c r="N837" s="3"/>
    </row>
    <row r="838" spans="4:14" ht="15.75" customHeight="1">
      <c r="D838" s="1"/>
      <c r="E838" s="2"/>
      <c r="F838" s="2"/>
      <c r="G838" s="67"/>
      <c r="H838" s="67"/>
      <c r="I838" s="67"/>
      <c r="J838" s="67"/>
      <c r="K838" s="3"/>
      <c r="L838" s="3"/>
      <c r="M838" s="3"/>
      <c r="N838" s="3"/>
    </row>
    <row r="839" spans="4:14" ht="15.75" customHeight="1">
      <c r="D839" s="1"/>
      <c r="E839" s="2"/>
      <c r="F839" s="2"/>
      <c r="G839" s="67"/>
      <c r="H839" s="67"/>
      <c r="I839" s="67"/>
      <c r="J839" s="67"/>
      <c r="K839" s="3"/>
      <c r="L839" s="3"/>
      <c r="M839" s="3"/>
      <c r="N839" s="3"/>
    </row>
    <row r="840" spans="4:14" ht="15.75" customHeight="1">
      <c r="D840" s="1"/>
      <c r="E840" s="2"/>
      <c r="F840" s="2"/>
      <c r="G840" s="67"/>
      <c r="H840" s="67"/>
      <c r="I840" s="67"/>
      <c r="J840" s="67"/>
      <c r="K840" s="3"/>
      <c r="L840" s="3"/>
      <c r="M840" s="3"/>
      <c r="N840" s="3"/>
    </row>
    <row r="841" spans="4:14" ht="15.75" customHeight="1">
      <c r="D841" s="1"/>
      <c r="E841" s="2"/>
      <c r="F841" s="2"/>
      <c r="G841" s="67"/>
      <c r="H841" s="67"/>
      <c r="I841" s="67"/>
      <c r="J841" s="67"/>
      <c r="K841" s="3"/>
      <c r="L841" s="3"/>
      <c r="M841" s="3"/>
      <c r="N841" s="3"/>
    </row>
    <row r="842" spans="4:14" ht="15.75" customHeight="1">
      <c r="D842" s="1"/>
      <c r="E842" s="2"/>
      <c r="F842" s="2"/>
      <c r="G842" s="67"/>
      <c r="H842" s="67"/>
      <c r="I842" s="67"/>
      <c r="J842" s="67"/>
      <c r="K842" s="3"/>
      <c r="L842" s="3"/>
      <c r="M842" s="3"/>
      <c r="N842" s="3"/>
    </row>
    <row r="843" spans="4:14" ht="15.75" customHeight="1">
      <c r="D843" s="1"/>
      <c r="E843" s="2"/>
      <c r="F843" s="2"/>
      <c r="G843" s="67"/>
      <c r="H843" s="67"/>
      <c r="I843" s="67"/>
      <c r="J843" s="67"/>
      <c r="K843" s="3"/>
      <c r="L843" s="3"/>
      <c r="M843" s="3"/>
      <c r="N843" s="3"/>
    </row>
    <row r="844" spans="4:14" ht="15.75" customHeight="1">
      <c r="D844" s="1"/>
      <c r="E844" s="2"/>
      <c r="F844" s="2"/>
      <c r="G844" s="67"/>
      <c r="H844" s="67"/>
      <c r="I844" s="67"/>
      <c r="J844" s="67"/>
      <c r="K844" s="3"/>
      <c r="L844" s="3"/>
      <c r="M844" s="3"/>
      <c r="N844" s="3"/>
    </row>
    <row r="845" spans="4:14" ht="15.75" customHeight="1">
      <c r="D845" s="1"/>
      <c r="E845" s="2"/>
      <c r="F845" s="2"/>
      <c r="G845" s="67"/>
      <c r="H845" s="67"/>
      <c r="I845" s="67"/>
      <c r="J845" s="67"/>
      <c r="K845" s="3"/>
      <c r="L845" s="3"/>
      <c r="M845" s="3"/>
      <c r="N845" s="3"/>
    </row>
    <row r="846" spans="4:14" ht="15.75" customHeight="1">
      <c r="D846" s="1"/>
      <c r="E846" s="2"/>
      <c r="F846" s="2"/>
      <c r="G846" s="67"/>
      <c r="H846" s="67"/>
      <c r="I846" s="67"/>
      <c r="J846" s="67"/>
      <c r="K846" s="3"/>
      <c r="L846" s="3"/>
      <c r="M846" s="3"/>
      <c r="N846" s="3"/>
    </row>
    <row r="847" spans="4:14" ht="15.75" customHeight="1">
      <c r="D847" s="1"/>
      <c r="E847" s="2"/>
      <c r="F847" s="2"/>
      <c r="G847" s="67"/>
      <c r="H847" s="67"/>
      <c r="I847" s="67"/>
      <c r="J847" s="67"/>
      <c r="K847" s="3"/>
      <c r="L847" s="3"/>
      <c r="M847" s="3"/>
      <c r="N847" s="3"/>
    </row>
    <row r="848" spans="4:14" ht="15.75" customHeight="1">
      <c r="D848" s="1"/>
      <c r="E848" s="2"/>
      <c r="F848" s="2"/>
      <c r="G848" s="67"/>
      <c r="H848" s="67"/>
      <c r="I848" s="67"/>
      <c r="J848" s="67"/>
      <c r="K848" s="3"/>
      <c r="L848" s="3"/>
      <c r="M848" s="3"/>
      <c r="N848" s="3"/>
    </row>
    <row r="849" spans="4:14" ht="15.75" customHeight="1">
      <c r="D849" s="1"/>
      <c r="E849" s="2"/>
      <c r="F849" s="2"/>
      <c r="G849" s="67"/>
      <c r="H849" s="67"/>
      <c r="I849" s="67"/>
      <c r="J849" s="67"/>
      <c r="K849" s="3"/>
      <c r="L849" s="3"/>
      <c r="M849" s="3"/>
      <c r="N849" s="3"/>
    </row>
    <row r="850" spans="4:14" ht="15.75" customHeight="1">
      <c r="D850" s="1"/>
      <c r="E850" s="2"/>
      <c r="F850" s="2"/>
      <c r="G850" s="67"/>
      <c r="H850" s="67"/>
      <c r="I850" s="67"/>
      <c r="J850" s="67"/>
      <c r="K850" s="3"/>
      <c r="L850" s="3"/>
      <c r="M850" s="3"/>
      <c r="N850" s="3"/>
    </row>
    <row r="851" spans="4:14" ht="15.75" customHeight="1">
      <c r="D851" s="1"/>
      <c r="E851" s="2"/>
      <c r="F851" s="2"/>
      <c r="G851" s="67"/>
      <c r="H851" s="67"/>
      <c r="I851" s="67"/>
      <c r="J851" s="67"/>
      <c r="K851" s="3"/>
      <c r="L851" s="3"/>
      <c r="M851" s="3"/>
      <c r="N851" s="3"/>
    </row>
    <row r="852" spans="4:14" ht="15.75" customHeight="1">
      <c r="D852" s="1"/>
      <c r="E852" s="2"/>
      <c r="F852" s="2"/>
      <c r="G852" s="67"/>
      <c r="H852" s="67"/>
      <c r="I852" s="67"/>
      <c r="J852" s="67"/>
      <c r="K852" s="3"/>
      <c r="L852" s="3"/>
      <c r="M852" s="3"/>
      <c r="N852" s="3"/>
    </row>
    <row r="853" spans="4:14" ht="15.75" customHeight="1">
      <c r="D853" s="1"/>
      <c r="E853" s="2"/>
      <c r="F853" s="2"/>
      <c r="G853" s="67"/>
      <c r="H853" s="67"/>
      <c r="I853" s="67"/>
      <c r="J853" s="67"/>
      <c r="K853" s="3"/>
      <c r="L853" s="3"/>
      <c r="M853" s="3"/>
      <c r="N853" s="3"/>
    </row>
    <row r="854" spans="4:14" ht="15.75" customHeight="1">
      <c r="D854" s="1"/>
      <c r="E854" s="2"/>
      <c r="F854" s="2"/>
      <c r="G854" s="67"/>
      <c r="H854" s="67"/>
      <c r="I854" s="67"/>
      <c r="J854" s="67"/>
      <c r="K854" s="3"/>
      <c r="L854" s="3"/>
      <c r="M854" s="3"/>
      <c r="N854" s="3"/>
    </row>
    <row r="855" spans="4:14" ht="15.75" customHeight="1">
      <c r="D855" s="1"/>
      <c r="E855" s="2"/>
      <c r="F855" s="2"/>
      <c r="G855" s="67"/>
      <c r="H855" s="67"/>
      <c r="I855" s="67"/>
      <c r="J855" s="67"/>
      <c r="K855" s="3"/>
      <c r="L855" s="3"/>
      <c r="M855" s="3"/>
      <c r="N855" s="3"/>
    </row>
    <row r="856" spans="4:14" ht="15.75" customHeight="1">
      <c r="D856" s="1"/>
      <c r="E856" s="2"/>
      <c r="F856" s="2"/>
      <c r="G856" s="67"/>
      <c r="H856" s="67"/>
      <c r="I856" s="67"/>
      <c r="J856" s="67"/>
      <c r="K856" s="3"/>
      <c r="L856" s="3"/>
      <c r="M856" s="3"/>
      <c r="N856" s="3"/>
    </row>
    <row r="857" spans="4:14" ht="15.75" customHeight="1">
      <c r="D857" s="1"/>
      <c r="E857" s="2"/>
      <c r="F857" s="2"/>
      <c r="G857" s="67"/>
      <c r="H857" s="67"/>
      <c r="I857" s="67"/>
      <c r="J857" s="67"/>
      <c r="K857" s="3"/>
      <c r="L857" s="3"/>
      <c r="M857" s="3"/>
      <c r="N857" s="3"/>
    </row>
    <row r="858" spans="4:14" ht="15.75" customHeight="1">
      <c r="D858" s="1"/>
      <c r="E858" s="2"/>
      <c r="F858" s="2"/>
      <c r="G858" s="67"/>
      <c r="H858" s="67"/>
      <c r="I858" s="67"/>
      <c r="J858" s="67"/>
      <c r="K858" s="3"/>
      <c r="L858" s="3"/>
      <c r="M858" s="3"/>
      <c r="N858" s="3"/>
    </row>
    <row r="859" spans="4:14" ht="15.75" customHeight="1">
      <c r="D859" s="1"/>
      <c r="E859" s="2"/>
      <c r="F859" s="2"/>
      <c r="G859" s="67"/>
      <c r="H859" s="67"/>
      <c r="I859" s="67"/>
      <c r="J859" s="67"/>
      <c r="K859" s="3"/>
      <c r="L859" s="3"/>
      <c r="M859" s="3"/>
      <c r="N859" s="3"/>
    </row>
    <row r="860" spans="4:14" ht="15.75" customHeight="1">
      <c r="D860" s="1"/>
      <c r="E860" s="2"/>
      <c r="F860" s="2"/>
      <c r="G860" s="67"/>
      <c r="H860" s="67"/>
      <c r="I860" s="67"/>
      <c r="J860" s="67"/>
      <c r="K860" s="3"/>
      <c r="L860" s="3"/>
      <c r="M860" s="3"/>
      <c r="N860" s="3"/>
    </row>
    <row r="861" spans="4:14" ht="15.75" customHeight="1">
      <c r="D861" s="1"/>
      <c r="E861" s="2"/>
      <c r="F861" s="2"/>
      <c r="G861" s="67"/>
      <c r="H861" s="67"/>
      <c r="I861" s="67"/>
      <c r="J861" s="67"/>
      <c r="K861" s="3"/>
      <c r="L861" s="3"/>
      <c r="M861" s="3"/>
      <c r="N861" s="3"/>
    </row>
    <row r="862" spans="4:14" ht="15.75" customHeight="1">
      <c r="D862" s="1"/>
      <c r="E862" s="2"/>
      <c r="F862" s="2"/>
      <c r="G862" s="67"/>
      <c r="H862" s="67"/>
      <c r="I862" s="67"/>
      <c r="J862" s="67"/>
      <c r="K862" s="3"/>
      <c r="L862" s="3"/>
      <c r="M862" s="3"/>
      <c r="N862" s="3"/>
    </row>
    <row r="863" spans="4:14" ht="15.75" customHeight="1">
      <c r="D863" s="1"/>
      <c r="E863" s="2"/>
      <c r="F863" s="2"/>
      <c r="G863" s="67"/>
      <c r="H863" s="67"/>
      <c r="I863" s="67"/>
      <c r="J863" s="67"/>
      <c r="K863" s="3"/>
      <c r="L863" s="3"/>
      <c r="M863" s="3"/>
      <c r="N863" s="3"/>
    </row>
    <row r="864" spans="4:14" ht="15.75" customHeight="1">
      <c r="D864" s="1"/>
      <c r="E864" s="2"/>
      <c r="F864" s="2"/>
      <c r="G864" s="67"/>
      <c r="H864" s="67"/>
      <c r="I864" s="67"/>
      <c r="J864" s="67"/>
      <c r="K864" s="3"/>
      <c r="L864" s="3"/>
      <c r="M864" s="3"/>
      <c r="N864" s="3"/>
    </row>
    <row r="865" spans="4:14" ht="15.75" customHeight="1">
      <c r="D865" s="1"/>
      <c r="E865" s="2"/>
      <c r="F865" s="2"/>
      <c r="G865" s="67"/>
      <c r="H865" s="67"/>
      <c r="I865" s="67"/>
      <c r="J865" s="67"/>
      <c r="K865" s="3"/>
      <c r="L865" s="3"/>
      <c r="M865" s="3"/>
      <c r="N865" s="3"/>
    </row>
    <row r="866" spans="4:14" ht="15.75" customHeight="1">
      <c r="D866" s="1"/>
      <c r="E866" s="2"/>
      <c r="F866" s="2"/>
      <c r="G866" s="67"/>
      <c r="H866" s="67"/>
      <c r="I866" s="67"/>
      <c r="J866" s="67"/>
      <c r="K866" s="3"/>
      <c r="L866" s="3"/>
      <c r="M866" s="3"/>
      <c r="N866" s="3"/>
    </row>
    <row r="867" spans="4:14" ht="15.75" customHeight="1">
      <c r="D867" s="1"/>
      <c r="E867" s="2"/>
      <c r="F867" s="2"/>
      <c r="G867" s="67"/>
      <c r="H867" s="67"/>
      <c r="I867" s="67"/>
      <c r="J867" s="67"/>
      <c r="K867" s="3"/>
      <c r="L867" s="3"/>
      <c r="M867" s="3"/>
      <c r="N867" s="3"/>
    </row>
    <row r="868" spans="4:14" ht="15.75" customHeight="1">
      <c r="D868" s="1"/>
      <c r="E868" s="2"/>
      <c r="F868" s="2"/>
      <c r="G868" s="67"/>
      <c r="H868" s="67"/>
      <c r="I868" s="67"/>
      <c r="J868" s="67"/>
      <c r="K868" s="3"/>
      <c r="L868" s="3"/>
      <c r="M868" s="3"/>
      <c r="N868" s="3"/>
    </row>
    <row r="869" spans="4:14" ht="15.75" customHeight="1">
      <c r="D869" s="1"/>
      <c r="E869" s="2"/>
      <c r="F869" s="2"/>
      <c r="G869" s="67"/>
      <c r="H869" s="67"/>
      <c r="I869" s="67"/>
      <c r="J869" s="67"/>
      <c r="K869" s="3"/>
      <c r="L869" s="3"/>
      <c r="M869" s="3"/>
      <c r="N869" s="3"/>
    </row>
    <row r="870" spans="4:14" ht="15.75" customHeight="1">
      <c r="D870" s="1"/>
      <c r="E870" s="2"/>
      <c r="F870" s="2"/>
      <c r="G870" s="67"/>
      <c r="H870" s="67"/>
      <c r="I870" s="67"/>
      <c r="J870" s="67"/>
      <c r="K870" s="3"/>
      <c r="L870" s="3"/>
      <c r="M870" s="3"/>
      <c r="N870" s="3"/>
    </row>
    <row r="871" spans="4:14" ht="15.75" customHeight="1">
      <c r="D871" s="1"/>
      <c r="E871" s="2"/>
      <c r="F871" s="2"/>
      <c r="G871" s="67"/>
      <c r="H871" s="67"/>
      <c r="I871" s="67"/>
      <c r="J871" s="67"/>
      <c r="K871" s="3"/>
      <c r="L871" s="3"/>
      <c r="M871" s="3"/>
      <c r="N871" s="3"/>
    </row>
    <row r="872" spans="4:14" ht="15.75" customHeight="1">
      <c r="D872" s="1"/>
      <c r="E872" s="2"/>
      <c r="F872" s="2"/>
      <c r="G872" s="67"/>
      <c r="H872" s="67"/>
      <c r="I872" s="67"/>
      <c r="J872" s="67"/>
      <c r="K872" s="3"/>
      <c r="L872" s="3"/>
      <c r="M872" s="3"/>
      <c r="N872" s="3"/>
    </row>
    <row r="873" spans="4:14" ht="15.75" customHeight="1">
      <c r="D873" s="1"/>
      <c r="E873" s="2"/>
      <c r="F873" s="2"/>
      <c r="G873" s="67"/>
      <c r="H873" s="67"/>
      <c r="I873" s="67"/>
      <c r="J873" s="67"/>
      <c r="K873" s="3"/>
      <c r="L873" s="3"/>
      <c r="M873" s="3"/>
      <c r="N873" s="3"/>
    </row>
    <row r="874" spans="4:14" ht="15.75" customHeight="1">
      <c r="D874" s="1"/>
      <c r="E874" s="2"/>
      <c r="F874" s="2"/>
      <c r="G874" s="67"/>
      <c r="H874" s="67"/>
      <c r="I874" s="67"/>
      <c r="J874" s="67"/>
      <c r="K874" s="3"/>
      <c r="L874" s="3"/>
      <c r="M874" s="3"/>
      <c r="N874" s="3"/>
    </row>
    <row r="875" spans="4:14" ht="15.75" customHeight="1">
      <c r="D875" s="1"/>
      <c r="E875" s="2"/>
      <c r="F875" s="2"/>
      <c r="G875" s="67"/>
      <c r="H875" s="67"/>
      <c r="I875" s="67"/>
      <c r="J875" s="67"/>
      <c r="K875" s="3"/>
      <c r="L875" s="3"/>
      <c r="M875" s="3"/>
      <c r="N875" s="3"/>
    </row>
    <row r="876" spans="4:14" ht="15.75" customHeight="1">
      <c r="D876" s="1"/>
      <c r="E876" s="2"/>
      <c r="F876" s="2"/>
      <c r="G876" s="67"/>
      <c r="H876" s="67"/>
      <c r="I876" s="67"/>
      <c r="J876" s="67"/>
      <c r="K876" s="3"/>
      <c r="L876" s="3"/>
      <c r="M876" s="3"/>
      <c r="N876" s="3"/>
    </row>
    <row r="877" spans="4:14" ht="15.75" customHeight="1">
      <c r="D877" s="1"/>
      <c r="E877" s="2"/>
      <c r="F877" s="2"/>
      <c r="G877" s="67"/>
      <c r="H877" s="67"/>
      <c r="I877" s="67"/>
      <c r="J877" s="67"/>
      <c r="K877" s="3"/>
      <c r="L877" s="3"/>
      <c r="M877" s="3"/>
      <c r="N877" s="3"/>
    </row>
    <row r="878" spans="4:14" ht="15.75" customHeight="1">
      <c r="D878" s="1"/>
      <c r="E878" s="2"/>
      <c r="F878" s="2"/>
      <c r="G878" s="67"/>
      <c r="H878" s="67"/>
      <c r="I878" s="67"/>
      <c r="J878" s="67"/>
      <c r="K878" s="3"/>
      <c r="L878" s="3"/>
      <c r="M878" s="3"/>
      <c r="N878" s="3"/>
    </row>
    <row r="879" spans="4:14" ht="15.75" customHeight="1">
      <c r="D879" s="1"/>
      <c r="E879" s="2"/>
      <c r="F879" s="2"/>
      <c r="G879" s="67"/>
      <c r="H879" s="67"/>
      <c r="I879" s="67"/>
      <c r="J879" s="67"/>
      <c r="K879" s="3"/>
      <c r="L879" s="3"/>
      <c r="M879" s="3"/>
      <c r="N879" s="3"/>
    </row>
    <row r="880" spans="4:14" ht="15.75" customHeight="1">
      <c r="D880" s="1"/>
      <c r="E880" s="2"/>
      <c r="F880" s="2"/>
      <c r="G880" s="67"/>
      <c r="H880" s="67"/>
      <c r="I880" s="67"/>
      <c r="J880" s="67"/>
      <c r="K880" s="3"/>
      <c r="L880" s="3"/>
      <c r="M880" s="3"/>
      <c r="N880" s="3"/>
    </row>
    <row r="881" spans="4:14" ht="15.75" customHeight="1">
      <c r="D881" s="1"/>
      <c r="E881" s="2"/>
      <c r="F881" s="2"/>
      <c r="G881" s="67"/>
      <c r="H881" s="67"/>
      <c r="I881" s="67"/>
      <c r="J881" s="67"/>
      <c r="K881" s="3"/>
      <c r="L881" s="3"/>
      <c r="M881" s="3"/>
      <c r="N881" s="3"/>
    </row>
    <row r="882" spans="4:14" ht="15.75" customHeight="1">
      <c r="D882" s="1"/>
      <c r="E882" s="2"/>
      <c r="F882" s="2"/>
      <c r="G882" s="67"/>
      <c r="H882" s="67"/>
      <c r="I882" s="67"/>
      <c r="J882" s="67"/>
      <c r="K882" s="3"/>
      <c r="L882" s="3"/>
      <c r="M882" s="3"/>
      <c r="N882" s="3"/>
    </row>
    <row r="883" spans="4:14" ht="15.75" customHeight="1">
      <c r="D883" s="1"/>
      <c r="E883" s="2"/>
      <c r="F883" s="2"/>
      <c r="G883" s="67"/>
      <c r="H883" s="67"/>
      <c r="I883" s="67"/>
      <c r="J883" s="67"/>
      <c r="K883" s="3"/>
      <c r="L883" s="3"/>
      <c r="M883" s="3"/>
      <c r="N883" s="3"/>
    </row>
    <row r="884" spans="4:14" ht="15.75" customHeight="1">
      <c r="D884" s="1"/>
      <c r="E884" s="2"/>
      <c r="F884" s="2"/>
      <c r="G884" s="67"/>
      <c r="H884" s="67"/>
      <c r="I884" s="67"/>
      <c r="J884" s="67"/>
      <c r="K884" s="3"/>
      <c r="L884" s="3"/>
      <c r="M884" s="3"/>
      <c r="N884" s="3"/>
    </row>
    <row r="885" spans="4:14" ht="15.75" customHeight="1">
      <c r="D885" s="1"/>
      <c r="E885" s="2"/>
      <c r="F885" s="2"/>
      <c r="G885" s="67"/>
      <c r="H885" s="67"/>
      <c r="I885" s="67"/>
      <c r="J885" s="67"/>
      <c r="K885" s="3"/>
      <c r="L885" s="3"/>
      <c r="M885" s="3"/>
      <c r="N885" s="3"/>
    </row>
    <row r="886" spans="4:14" ht="15.75" customHeight="1">
      <c r="D886" s="1"/>
      <c r="E886" s="2"/>
      <c r="F886" s="2"/>
      <c r="G886" s="67"/>
      <c r="H886" s="67"/>
      <c r="I886" s="67"/>
      <c r="J886" s="67"/>
      <c r="K886" s="3"/>
      <c r="L886" s="3"/>
      <c r="M886" s="3"/>
      <c r="N886" s="3"/>
    </row>
    <row r="887" spans="4:14" ht="15.75" customHeight="1">
      <c r="D887" s="1"/>
      <c r="E887" s="2"/>
      <c r="F887" s="2"/>
      <c r="G887" s="67"/>
      <c r="H887" s="67"/>
      <c r="I887" s="67"/>
      <c r="J887" s="67"/>
      <c r="K887" s="3"/>
      <c r="L887" s="3"/>
      <c r="M887" s="3"/>
      <c r="N887" s="3"/>
    </row>
    <row r="888" spans="4:14" ht="15.75" customHeight="1">
      <c r="D888" s="1"/>
      <c r="E888" s="2"/>
      <c r="F888" s="2"/>
      <c r="G888" s="67"/>
      <c r="H888" s="67"/>
      <c r="I888" s="67"/>
      <c r="J888" s="67"/>
      <c r="K888" s="3"/>
      <c r="L888" s="3"/>
      <c r="M888" s="3"/>
      <c r="N888" s="3"/>
    </row>
    <row r="889" spans="4:14" ht="15.75" customHeight="1">
      <c r="D889" s="1"/>
      <c r="E889" s="2"/>
      <c r="F889" s="2"/>
      <c r="G889" s="67"/>
      <c r="H889" s="67"/>
      <c r="I889" s="67"/>
      <c r="J889" s="67"/>
      <c r="K889" s="3"/>
      <c r="L889" s="3"/>
      <c r="M889" s="3"/>
      <c r="N889" s="3"/>
    </row>
    <row r="890" spans="4:14" ht="15.75" customHeight="1">
      <c r="D890" s="1"/>
      <c r="E890" s="2"/>
      <c r="F890" s="2"/>
      <c r="G890" s="67"/>
      <c r="H890" s="67"/>
      <c r="I890" s="67"/>
      <c r="J890" s="67"/>
      <c r="K890" s="3"/>
      <c r="L890" s="3"/>
      <c r="M890" s="3"/>
      <c r="N890" s="3"/>
    </row>
    <row r="891" spans="4:14" ht="15.75" customHeight="1">
      <c r="D891" s="1"/>
      <c r="E891" s="2"/>
      <c r="F891" s="2"/>
      <c r="G891" s="67"/>
      <c r="H891" s="67"/>
      <c r="I891" s="67"/>
      <c r="J891" s="67"/>
      <c r="K891" s="3"/>
      <c r="L891" s="3"/>
      <c r="M891" s="3"/>
      <c r="N891" s="3"/>
    </row>
    <row r="892" spans="4:14" ht="15.75" customHeight="1">
      <c r="D892" s="1"/>
      <c r="E892" s="2"/>
      <c r="F892" s="2"/>
      <c r="G892" s="67"/>
      <c r="H892" s="67"/>
      <c r="I892" s="67"/>
      <c r="J892" s="67"/>
      <c r="K892" s="3"/>
      <c r="L892" s="3"/>
      <c r="M892" s="3"/>
      <c r="N892" s="3"/>
    </row>
    <row r="893" spans="4:14" ht="15.75" customHeight="1">
      <c r="D893" s="1"/>
      <c r="E893" s="2"/>
      <c r="F893" s="2"/>
      <c r="G893" s="67"/>
      <c r="H893" s="67"/>
      <c r="I893" s="67"/>
      <c r="J893" s="67"/>
      <c r="K893" s="3"/>
      <c r="L893" s="3"/>
      <c r="M893" s="3"/>
      <c r="N893" s="3"/>
    </row>
    <row r="894" spans="4:14" ht="15.75" customHeight="1">
      <c r="D894" s="1"/>
      <c r="E894" s="2"/>
      <c r="F894" s="2"/>
      <c r="G894" s="67"/>
      <c r="H894" s="67"/>
      <c r="I894" s="67"/>
      <c r="J894" s="67"/>
      <c r="K894" s="3"/>
      <c r="L894" s="3"/>
      <c r="M894" s="3"/>
      <c r="N894" s="3"/>
    </row>
    <row r="895" spans="4:14" ht="15.75" customHeight="1">
      <c r="D895" s="1"/>
      <c r="E895" s="2"/>
      <c r="F895" s="2"/>
      <c r="G895" s="67"/>
      <c r="H895" s="67"/>
      <c r="I895" s="67"/>
      <c r="J895" s="67"/>
      <c r="K895" s="3"/>
      <c r="L895" s="3"/>
      <c r="M895" s="3"/>
      <c r="N895" s="3"/>
    </row>
    <row r="896" spans="4:14" ht="15.75" customHeight="1">
      <c r="D896" s="1"/>
      <c r="E896" s="2"/>
      <c r="F896" s="2"/>
      <c r="G896" s="67"/>
      <c r="H896" s="67"/>
      <c r="I896" s="67"/>
      <c r="J896" s="67"/>
      <c r="K896" s="3"/>
      <c r="L896" s="3"/>
      <c r="M896" s="3"/>
      <c r="N896" s="3"/>
    </row>
    <row r="897" spans="4:14" ht="15.75" customHeight="1">
      <c r="D897" s="1"/>
      <c r="E897" s="2"/>
      <c r="F897" s="2"/>
      <c r="G897" s="67"/>
      <c r="H897" s="67"/>
      <c r="I897" s="67"/>
      <c r="J897" s="67"/>
      <c r="K897" s="3"/>
      <c r="L897" s="3"/>
      <c r="M897" s="3"/>
      <c r="N897" s="3"/>
    </row>
    <row r="898" spans="4:14" ht="15.75" customHeight="1">
      <c r="D898" s="1"/>
      <c r="E898" s="2"/>
      <c r="F898" s="2"/>
      <c r="G898" s="67"/>
      <c r="H898" s="67"/>
      <c r="I898" s="67"/>
      <c r="J898" s="67"/>
      <c r="K898" s="3"/>
      <c r="L898" s="3"/>
      <c r="M898" s="3"/>
      <c r="N898" s="3"/>
    </row>
    <row r="899" spans="4:14" ht="15.75" customHeight="1">
      <c r="D899" s="1"/>
      <c r="E899" s="2"/>
      <c r="F899" s="2"/>
      <c r="G899" s="67"/>
      <c r="H899" s="67"/>
      <c r="I899" s="67"/>
      <c r="J899" s="67"/>
      <c r="K899" s="3"/>
      <c r="L899" s="3"/>
      <c r="M899" s="3"/>
      <c r="N899" s="3"/>
    </row>
    <row r="900" spans="4:14" ht="15.75" customHeight="1">
      <c r="D900" s="1"/>
      <c r="E900" s="2"/>
      <c r="F900" s="2"/>
      <c r="G900" s="67"/>
      <c r="H900" s="67"/>
      <c r="I900" s="67"/>
      <c r="J900" s="67"/>
      <c r="K900" s="3"/>
      <c r="L900" s="3"/>
      <c r="M900" s="3"/>
      <c r="N900" s="3"/>
    </row>
    <row r="901" spans="4:14" ht="15.75" customHeight="1">
      <c r="D901" s="1"/>
      <c r="E901" s="2"/>
      <c r="F901" s="2"/>
      <c r="G901" s="67"/>
      <c r="H901" s="67"/>
      <c r="I901" s="67"/>
      <c r="J901" s="67"/>
      <c r="K901" s="3"/>
      <c r="L901" s="3"/>
      <c r="M901" s="3"/>
      <c r="N901" s="3"/>
    </row>
    <row r="902" spans="4:14" ht="15.75" customHeight="1">
      <c r="D902" s="1"/>
      <c r="E902" s="2"/>
      <c r="F902" s="2"/>
      <c r="G902" s="67"/>
      <c r="H902" s="67"/>
      <c r="I902" s="67"/>
      <c r="J902" s="67"/>
      <c r="K902" s="3"/>
      <c r="L902" s="3"/>
      <c r="M902" s="3"/>
      <c r="N902" s="3"/>
    </row>
    <row r="903" spans="4:14" ht="15.75" customHeight="1">
      <c r="D903" s="1"/>
      <c r="E903" s="2"/>
      <c r="F903" s="2"/>
      <c r="G903" s="67"/>
      <c r="H903" s="67"/>
      <c r="I903" s="67"/>
      <c r="J903" s="67"/>
      <c r="K903" s="3"/>
      <c r="L903" s="3"/>
      <c r="M903" s="3"/>
      <c r="N903" s="3"/>
    </row>
    <row r="904" spans="4:14" ht="15.75" customHeight="1">
      <c r="D904" s="1"/>
      <c r="E904" s="2"/>
      <c r="F904" s="2"/>
      <c r="G904" s="67"/>
      <c r="H904" s="67"/>
      <c r="I904" s="67"/>
      <c r="J904" s="67"/>
      <c r="K904" s="3"/>
      <c r="L904" s="3"/>
      <c r="M904" s="3"/>
      <c r="N904" s="3"/>
    </row>
    <row r="905" spans="4:14" ht="15.75" customHeight="1">
      <c r="D905" s="1"/>
      <c r="E905" s="2"/>
      <c r="F905" s="2"/>
      <c r="G905" s="67"/>
      <c r="H905" s="67"/>
      <c r="I905" s="67"/>
      <c r="J905" s="67"/>
      <c r="K905" s="3"/>
      <c r="L905" s="3"/>
      <c r="M905" s="3"/>
      <c r="N905" s="3"/>
    </row>
    <row r="906" spans="4:14" ht="15.75" customHeight="1">
      <c r="D906" s="1"/>
      <c r="E906" s="2"/>
      <c r="F906" s="2"/>
      <c r="G906" s="67"/>
      <c r="H906" s="67"/>
      <c r="I906" s="67"/>
      <c r="J906" s="67"/>
      <c r="K906" s="3"/>
      <c r="L906" s="3"/>
      <c r="M906" s="3"/>
      <c r="N906" s="3"/>
    </row>
    <row r="907" spans="4:14" ht="15.75" customHeight="1">
      <c r="D907" s="1"/>
      <c r="E907" s="2"/>
      <c r="F907" s="2"/>
      <c r="G907" s="67"/>
      <c r="H907" s="67"/>
      <c r="I907" s="67"/>
      <c r="J907" s="67"/>
      <c r="K907" s="3"/>
      <c r="L907" s="3"/>
      <c r="M907" s="3"/>
      <c r="N907" s="3"/>
    </row>
    <row r="908" spans="4:14" ht="15.75" customHeight="1">
      <c r="D908" s="1"/>
      <c r="E908" s="2"/>
      <c r="F908" s="2"/>
      <c r="G908" s="67"/>
      <c r="H908" s="67"/>
      <c r="I908" s="67"/>
      <c r="J908" s="67"/>
      <c r="K908" s="3"/>
      <c r="L908" s="3"/>
      <c r="M908" s="3"/>
      <c r="N908" s="3"/>
    </row>
    <row r="909" spans="4:14" ht="15.75" customHeight="1">
      <c r="D909" s="1"/>
      <c r="E909" s="2"/>
      <c r="F909" s="2"/>
      <c r="G909" s="67"/>
      <c r="H909" s="67"/>
      <c r="I909" s="67"/>
      <c r="J909" s="67"/>
      <c r="K909" s="3"/>
      <c r="L909" s="3"/>
      <c r="M909" s="3"/>
      <c r="N909" s="3"/>
    </row>
    <row r="910" spans="4:14" ht="15.75" customHeight="1">
      <c r="D910" s="1"/>
      <c r="E910" s="2"/>
      <c r="F910" s="2"/>
      <c r="G910" s="67"/>
      <c r="H910" s="67"/>
      <c r="I910" s="67"/>
      <c r="J910" s="67"/>
      <c r="K910" s="3"/>
      <c r="L910" s="3"/>
      <c r="M910" s="3"/>
      <c r="N910" s="3"/>
    </row>
    <row r="911" spans="4:14" ht="15.75" customHeight="1">
      <c r="D911" s="1"/>
      <c r="E911" s="2"/>
      <c r="F911" s="2"/>
      <c r="G911" s="67"/>
      <c r="H911" s="67"/>
      <c r="I911" s="67"/>
      <c r="J911" s="67"/>
      <c r="K911" s="3"/>
      <c r="L911" s="3"/>
      <c r="M911" s="3"/>
      <c r="N911" s="3"/>
    </row>
    <row r="912" spans="4:14" ht="15.75" customHeight="1">
      <c r="D912" s="1"/>
      <c r="E912" s="2"/>
      <c r="F912" s="2"/>
      <c r="G912" s="67"/>
      <c r="H912" s="67"/>
      <c r="I912" s="67"/>
      <c r="J912" s="67"/>
      <c r="K912" s="3"/>
      <c r="L912" s="3"/>
      <c r="M912" s="3"/>
      <c r="N912" s="3"/>
    </row>
    <row r="913" spans="4:14" ht="15.75" customHeight="1">
      <c r="D913" s="1"/>
      <c r="E913" s="2"/>
      <c r="F913" s="2"/>
      <c r="G913" s="67"/>
      <c r="H913" s="67"/>
      <c r="I913" s="67"/>
      <c r="J913" s="67"/>
      <c r="K913" s="3"/>
      <c r="L913" s="3"/>
      <c r="M913" s="3"/>
      <c r="N913" s="3"/>
    </row>
    <row r="914" spans="4:14" ht="15.75" customHeight="1">
      <c r="D914" s="1"/>
      <c r="E914" s="2"/>
      <c r="F914" s="2"/>
      <c r="G914" s="67"/>
      <c r="H914" s="67"/>
      <c r="I914" s="67"/>
      <c r="J914" s="67"/>
      <c r="K914" s="3"/>
      <c r="L914" s="3"/>
      <c r="M914" s="3"/>
      <c r="N914" s="3"/>
    </row>
    <row r="915" spans="4:14" ht="15.75" customHeight="1">
      <c r="D915" s="1"/>
      <c r="E915" s="2"/>
      <c r="F915" s="2"/>
      <c r="G915" s="67"/>
      <c r="H915" s="67"/>
      <c r="I915" s="67"/>
      <c r="J915" s="67"/>
      <c r="K915" s="3"/>
      <c r="L915" s="3"/>
      <c r="M915" s="3"/>
      <c r="N915" s="3"/>
    </row>
    <row r="916" spans="4:14" ht="15.75" customHeight="1">
      <c r="D916" s="1"/>
      <c r="E916" s="2"/>
      <c r="F916" s="2"/>
      <c r="G916" s="67"/>
      <c r="H916" s="67"/>
      <c r="I916" s="67"/>
      <c r="J916" s="67"/>
      <c r="K916" s="3"/>
      <c r="L916" s="3"/>
      <c r="M916" s="3"/>
      <c r="N916" s="3"/>
    </row>
    <row r="917" spans="4:14" ht="15.75" customHeight="1">
      <c r="D917" s="1"/>
      <c r="E917" s="2"/>
      <c r="F917" s="2"/>
      <c r="G917" s="67"/>
      <c r="H917" s="67"/>
      <c r="I917" s="67"/>
      <c r="J917" s="67"/>
      <c r="K917" s="3"/>
      <c r="L917" s="3"/>
      <c r="M917" s="3"/>
      <c r="N917" s="3"/>
    </row>
    <row r="918" spans="4:14" ht="15.75" customHeight="1">
      <c r="D918" s="1"/>
      <c r="E918" s="2"/>
      <c r="F918" s="2"/>
      <c r="G918" s="67"/>
      <c r="H918" s="67"/>
      <c r="I918" s="67"/>
      <c r="J918" s="67"/>
      <c r="K918" s="3"/>
      <c r="L918" s="3"/>
      <c r="M918" s="3"/>
      <c r="N918" s="3"/>
    </row>
    <row r="919" spans="4:14" ht="15.75" customHeight="1">
      <c r="D919" s="1"/>
      <c r="E919" s="2"/>
      <c r="F919" s="2"/>
      <c r="G919" s="67"/>
      <c r="H919" s="67"/>
      <c r="I919" s="67"/>
      <c r="J919" s="67"/>
      <c r="K919" s="3"/>
      <c r="L919" s="3"/>
      <c r="M919" s="3"/>
      <c r="N919" s="3"/>
    </row>
    <row r="920" spans="4:14" ht="15.75" customHeight="1">
      <c r="D920" s="1"/>
      <c r="E920" s="2"/>
      <c r="F920" s="2"/>
      <c r="G920" s="67"/>
      <c r="H920" s="67"/>
      <c r="I920" s="67"/>
      <c r="J920" s="67"/>
      <c r="K920" s="3"/>
      <c r="L920" s="3"/>
      <c r="M920" s="3"/>
      <c r="N920" s="3"/>
    </row>
    <row r="921" spans="4:14" ht="15.75" customHeight="1">
      <c r="D921" s="1"/>
      <c r="E921" s="2"/>
      <c r="F921" s="2"/>
      <c r="G921" s="67"/>
      <c r="H921" s="67"/>
      <c r="I921" s="67"/>
      <c r="J921" s="67"/>
      <c r="K921" s="3"/>
      <c r="L921" s="3"/>
      <c r="M921" s="3"/>
      <c r="N921" s="3"/>
    </row>
    <row r="922" spans="4:14" ht="15.75" customHeight="1">
      <c r="D922" s="1"/>
      <c r="E922" s="2"/>
      <c r="F922" s="2"/>
      <c r="G922" s="67"/>
      <c r="H922" s="67"/>
      <c r="I922" s="67"/>
      <c r="J922" s="67"/>
      <c r="K922" s="3"/>
      <c r="L922" s="3"/>
      <c r="M922" s="3"/>
      <c r="N922" s="3"/>
    </row>
    <row r="923" spans="4:14" ht="15.75" customHeight="1">
      <c r="D923" s="1"/>
      <c r="E923" s="2"/>
      <c r="F923" s="2"/>
      <c r="G923" s="67"/>
      <c r="H923" s="67"/>
      <c r="I923" s="67"/>
      <c r="J923" s="67"/>
      <c r="K923" s="3"/>
      <c r="L923" s="3"/>
      <c r="M923" s="3"/>
      <c r="N923" s="3"/>
    </row>
    <row r="924" spans="4:14" ht="15.75" customHeight="1">
      <c r="D924" s="1"/>
      <c r="E924" s="2"/>
      <c r="F924" s="2"/>
      <c r="G924" s="67"/>
      <c r="H924" s="67"/>
      <c r="I924" s="67"/>
      <c r="J924" s="67"/>
      <c r="K924" s="3"/>
      <c r="L924" s="3"/>
      <c r="M924" s="3"/>
      <c r="N924" s="3"/>
    </row>
    <row r="925" spans="4:14" ht="15.75" customHeight="1">
      <c r="D925" s="1"/>
      <c r="E925" s="2"/>
      <c r="F925" s="2"/>
      <c r="G925" s="67"/>
      <c r="H925" s="67"/>
      <c r="I925" s="67"/>
      <c r="J925" s="67"/>
      <c r="K925" s="3"/>
      <c r="L925" s="3"/>
      <c r="M925" s="3"/>
      <c r="N925" s="3"/>
    </row>
    <row r="926" spans="4:14" ht="15.75" customHeight="1">
      <c r="D926" s="1"/>
      <c r="E926" s="2"/>
      <c r="F926" s="2"/>
      <c r="G926" s="67"/>
      <c r="H926" s="67"/>
      <c r="I926" s="67"/>
      <c r="J926" s="67"/>
      <c r="K926" s="3"/>
      <c r="L926" s="3"/>
      <c r="M926" s="3"/>
      <c r="N926" s="3"/>
    </row>
    <row r="927" spans="4:14" ht="15.75" customHeight="1">
      <c r="D927" s="1"/>
      <c r="E927" s="2"/>
      <c r="F927" s="2"/>
      <c r="G927" s="67"/>
      <c r="H927" s="67"/>
      <c r="I927" s="67"/>
      <c r="J927" s="67"/>
      <c r="K927" s="3"/>
      <c r="L927" s="3"/>
      <c r="M927" s="3"/>
      <c r="N927" s="3"/>
    </row>
    <row r="928" spans="4:14" ht="15.75" customHeight="1">
      <c r="D928" s="1"/>
      <c r="E928" s="2"/>
      <c r="F928" s="2"/>
      <c r="G928" s="67"/>
      <c r="H928" s="67"/>
      <c r="I928" s="67"/>
      <c r="J928" s="67"/>
      <c r="K928" s="3"/>
      <c r="L928" s="3"/>
      <c r="M928" s="3"/>
      <c r="N928" s="3"/>
    </row>
    <row r="929" spans="4:14" ht="15.75" customHeight="1">
      <c r="D929" s="1"/>
      <c r="E929" s="2"/>
      <c r="F929" s="2"/>
      <c r="G929" s="67"/>
      <c r="H929" s="67"/>
      <c r="I929" s="67"/>
      <c r="J929" s="67"/>
      <c r="K929" s="3"/>
      <c r="L929" s="3"/>
      <c r="M929" s="3"/>
      <c r="N929" s="3"/>
    </row>
    <row r="930" spans="4:14" ht="15.75" customHeight="1">
      <c r="D930" s="1"/>
      <c r="E930" s="2"/>
      <c r="F930" s="2"/>
      <c r="G930" s="67"/>
      <c r="H930" s="67"/>
      <c r="I930" s="67"/>
      <c r="J930" s="67"/>
      <c r="K930" s="3"/>
      <c r="L930" s="3"/>
      <c r="M930" s="3"/>
      <c r="N930" s="3"/>
    </row>
    <row r="931" spans="4:14" ht="15.75" customHeight="1">
      <c r="D931" s="1"/>
      <c r="E931" s="2"/>
      <c r="F931" s="2"/>
      <c r="G931" s="67"/>
      <c r="H931" s="67"/>
      <c r="I931" s="67"/>
      <c r="J931" s="67"/>
      <c r="K931" s="3"/>
      <c r="L931" s="3"/>
      <c r="M931" s="3"/>
      <c r="N931" s="3"/>
    </row>
    <row r="932" spans="4:14" ht="15.75" customHeight="1">
      <c r="D932" s="1"/>
      <c r="E932" s="2"/>
      <c r="F932" s="2"/>
      <c r="G932" s="67"/>
      <c r="H932" s="67"/>
      <c r="I932" s="67"/>
      <c r="J932" s="67"/>
      <c r="K932" s="3"/>
      <c r="L932" s="3"/>
      <c r="M932" s="3"/>
      <c r="N932" s="3"/>
    </row>
    <row r="933" spans="4:14" ht="15.75" customHeight="1">
      <c r="D933" s="1"/>
      <c r="E933" s="2"/>
      <c r="F933" s="2"/>
      <c r="G933" s="67"/>
      <c r="H933" s="67"/>
      <c r="I933" s="67"/>
      <c r="J933" s="67"/>
      <c r="K933" s="3"/>
      <c r="L933" s="3"/>
      <c r="M933" s="3"/>
      <c r="N933" s="3"/>
    </row>
    <row r="934" spans="4:14" ht="15.75" customHeight="1">
      <c r="D934" s="1"/>
      <c r="E934" s="2"/>
      <c r="F934" s="2"/>
      <c r="G934" s="67"/>
      <c r="H934" s="67"/>
      <c r="I934" s="67"/>
      <c r="J934" s="67"/>
      <c r="K934" s="3"/>
      <c r="L934" s="3"/>
      <c r="M934" s="3"/>
      <c r="N934" s="3"/>
    </row>
    <row r="935" spans="4:14" ht="15.75" customHeight="1">
      <c r="D935" s="1"/>
      <c r="E935" s="2"/>
      <c r="F935" s="2"/>
      <c r="G935" s="67"/>
      <c r="H935" s="67"/>
      <c r="I935" s="67"/>
      <c r="J935" s="67"/>
      <c r="K935" s="3"/>
      <c r="L935" s="3"/>
      <c r="M935" s="3"/>
      <c r="N935" s="3"/>
    </row>
    <row r="936" spans="4:14" ht="15.75" customHeight="1">
      <c r="D936" s="1"/>
      <c r="E936" s="2"/>
      <c r="F936" s="2"/>
      <c r="G936" s="67"/>
      <c r="H936" s="67"/>
      <c r="I936" s="67"/>
      <c r="J936" s="67"/>
      <c r="K936" s="3"/>
      <c r="L936" s="3"/>
      <c r="M936" s="3"/>
      <c r="N936" s="3"/>
    </row>
    <row r="937" spans="4:14" ht="15.75" customHeight="1">
      <c r="D937" s="1"/>
      <c r="E937" s="2"/>
      <c r="F937" s="2"/>
      <c r="G937" s="67"/>
      <c r="H937" s="67"/>
      <c r="I937" s="67"/>
      <c r="J937" s="67"/>
      <c r="K937" s="3"/>
      <c r="L937" s="3"/>
      <c r="M937" s="3"/>
      <c r="N937" s="3"/>
    </row>
    <row r="938" spans="4:14" ht="15.75" customHeight="1">
      <c r="D938" s="1"/>
      <c r="E938" s="2"/>
      <c r="F938" s="2"/>
      <c r="G938" s="67"/>
      <c r="H938" s="67"/>
      <c r="I938" s="67"/>
      <c r="J938" s="67"/>
      <c r="K938" s="3"/>
      <c r="L938" s="3"/>
      <c r="M938" s="3"/>
      <c r="N938" s="3"/>
    </row>
    <row r="939" spans="4:14" ht="15.75" customHeight="1">
      <c r="D939" s="1"/>
      <c r="E939" s="2"/>
      <c r="F939" s="2"/>
      <c r="G939" s="67"/>
      <c r="H939" s="67"/>
      <c r="I939" s="67"/>
      <c r="J939" s="67"/>
      <c r="K939" s="3"/>
      <c r="L939" s="3"/>
      <c r="M939" s="3"/>
      <c r="N939" s="3"/>
    </row>
    <row r="940" spans="4:14" ht="15.75" customHeight="1">
      <c r="D940" s="1"/>
      <c r="E940" s="2"/>
      <c r="F940" s="2"/>
      <c r="G940" s="67"/>
      <c r="H940" s="67"/>
      <c r="I940" s="67"/>
      <c r="J940" s="67"/>
      <c r="K940" s="3"/>
      <c r="L940" s="3"/>
      <c r="M940" s="3"/>
      <c r="N940" s="3"/>
    </row>
    <row r="941" spans="4:14" ht="15.75" customHeight="1">
      <c r="D941" s="1"/>
      <c r="E941" s="2"/>
      <c r="F941" s="2"/>
      <c r="G941" s="67"/>
      <c r="H941" s="67"/>
      <c r="I941" s="67"/>
      <c r="J941" s="67"/>
      <c r="K941" s="3"/>
      <c r="L941" s="3"/>
      <c r="M941" s="3"/>
      <c r="N941" s="3"/>
    </row>
    <row r="942" spans="4:14" ht="15.75" customHeight="1">
      <c r="D942" s="1"/>
      <c r="E942" s="2"/>
      <c r="F942" s="2"/>
      <c r="G942" s="67"/>
      <c r="H942" s="67"/>
      <c r="I942" s="67"/>
      <c r="J942" s="67"/>
      <c r="K942" s="3"/>
      <c r="L942" s="3"/>
      <c r="M942" s="3"/>
      <c r="N942" s="3"/>
    </row>
    <row r="943" spans="4:14" ht="15.75" customHeight="1">
      <c r="D943" s="1"/>
      <c r="E943" s="2"/>
      <c r="F943" s="2"/>
      <c r="G943" s="67"/>
      <c r="H943" s="67"/>
      <c r="I943" s="67"/>
      <c r="J943" s="67"/>
      <c r="K943" s="3"/>
      <c r="L943" s="3"/>
      <c r="M943" s="3"/>
      <c r="N943" s="3"/>
    </row>
    <row r="944" spans="4:14" ht="15.75" customHeight="1">
      <c r="D944" s="1"/>
      <c r="E944" s="2"/>
      <c r="F944" s="2"/>
      <c r="G944" s="67"/>
      <c r="H944" s="67"/>
      <c r="I944" s="67"/>
      <c r="J944" s="67"/>
      <c r="K944" s="3"/>
      <c r="L944" s="3"/>
      <c r="M944" s="3"/>
      <c r="N944" s="3"/>
    </row>
    <row r="945" spans="4:14" ht="15.75" customHeight="1">
      <c r="D945" s="1"/>
      <c r="E945" s="2"/>
      <c r="F945" s="2"/>
      <c r="G945" s="67"/>
      <c r="H945" s="67"/>
      <c r="I945" s="67"/>
      <c r="J945" s="67"/>
      <c r="K945" s="3"/>
      <c r="L945" s="3"/>
      <c r="M945" s="3"/>
      <c r="N945" s="3"/>
    </row>
    <row r="946" spans="4:14" ht="15.75" customHeight="1">
      <c r="D946" s="1"/>
      <c r="E946" s="2"/>
      <c r="F946" s="2"/>
      <c r="G946" s="67"/>
      <c r="H946" s="67"/>
      <c r="I946" s="67"/>
      <c r="J946" s="67"/>
      <c r="K946" s="3"/>
      <c r="L946" s="3"/>
      <c r="M946" s="3"/>
      <c r="N946" s="3"/>
    </row>
    <row r="947" spans="4:14" ht="15.75" customHeight="1">
      <c r="D947" s="1"/>
      <c r="E947" s="2"/>
      <c r="F947" s="2"/>
      <c r="G947" s="67"/>
      <c r="H947" s="67"/>
      <c r="I947" s="67"/>
      <c r="J947" s="67"/>
      <c r="K947" s="3"/>
      <c r="L947" s="3"/>
      <c r="M947" s="3"/>
      <c r="N947" s="3"/>
    </row>
    <row r="948" spans="4:14" ht="15.75" customHeight="1">
      <c r="D948" s="1"/>
      <c r="E948" s="2"/>
      <c r="F948" s="2"/>
      <c r="G948" s="67"/>
      <c r="H948" s="67"/>
      <c r="I948" s="67"/>
      <c r="J948" s="67"/>
      <c r="K948" s="3"/>
      <c r="L948" s="3"/>
      <c r="M948" s="3"/>
      <c r="N948" s="3"/>
    </row>
    <row r="949" spans="4:14" ht="15.75" customHeight="1">
      <c r="D949" s="1"/>
      <c r="E949" s="2"/>
      <c r="F949" s="2"/>
      <c r="G949" s="67"/>
      <c r="H949" s="67"/>
      <c r="I949" s="67"/>
      <c r="J949" s="67"/>
      <c r="K949" s="3"/>
      <c r="L949" s="3"/>
      <c r="M949" s="3"/>
      <c r="N949" s="3"/>
    </row>
    <row r="950" spans="4:14" ht="15.75" customHeight="1">
      <c r="D950" s="1"/>
      <c r="E950" s="2"/>
      <c r="F950" s="2"/>
      <c r="G950" s="67"/>
      <c r="H950" s="67"/>
      <c r="I950" s="67"/>
      <c r="J950" s="67"/>
      <c r="K950" s="3"/>
      <c r="L950" s="3"/>
      <c r="M950" s="3"/>
      <c r="N950" s="3"/>
    </row>
    <row r="951" spans="4:14" ht="15.75" customHeight="1">
      <c r="D951" s="1"/>
      <c r="E951" s="2"/>
      <c r="F951" s="2"/>
      <c r="G951" s="67"/>
      <c r="H951" s="67"/>
      <c r="I951" s="67"/>
      <c r="J951" s="67"/>
      <c r="K951" s="3"/>
      <c r="L951" s="3"/>
      <c r="M951" s="3"/>
      <c r="N951" s="3"/>
    </row>
    <row r="952" spans="4:14" ht="15.75" customHeight="1">
      <c r="D952" s="1"/>
      <c r="E952" s="2"/>
      <c r="F952" s="2"/>
      <c r="G952" s="67"/>
      <c r="H952" s="67"/>
      <c r="I952" s="67"/>
      <c r="J952" s="67"/>
      <c r="K952" s="3"/>
      <c r="L952" s="3"/>
      <c r="M952" s="3"/>
      <c r="N952" s="3"/>
    </row>
    <row r="953" spans="4:14" ht="15.75" customHeight="1">
      <c r="D953" s="1"/>
      <c r="E953" s="2"/>
      <c r="F953" s="2"/>
      <c r="G953" s="67"/>
      <c r="H953" s="67"/>
      <c r="I953" s="67"/>
      <c r="J953" s="67"/>
      <c r="K953" s="3"/>
      <c r="L953" s="3"/>
      <c r="M953" s="3"/>
      <c r="N953" s="3"/>
    </row>
    <row r="954" spans="4:14" ht="15.75" customHeight="1">
      <c r="D954" s="1"/>
      <c r="E954" s="2"/>
      <c r="F954" s="2"/>
      <c r="G954" s="67"/>
      <c r="H954" s="67"/>
      <c r="I954" s="67"/>
      <c r="J954" s="67"/>
      <c r="K954" s="3"/>
      <c r="L954" s="3"/>
      <c r="M954" s="3"/>
      <c r="N954" s="3"/>
    </row>
    <row r="955" spans="4:14" ht="15.75" customHeight="1">
      <c r="D955" s="1"/>
      <c r="E955" s="2"/>
      <c r="F955" s="2"/>
      <c r="G955" s="67"/>
      <c r="H955" s="67"/>
      <c r="I955" s="67"/>
      <c r="J955" s="67"/>
      <c r="K955" s="3"/>
      <c r="L955" s="3"/>
      <c r="M955" s="3"/>
      <c r="N955" s="3"/>
    </row>
    <row r="956" spans="4:14" ht="15.75" customHeight="1">
      <c r="D956" s="1"/>
      <c r="E956" s="2"/>
      <c r="F956" s="2"/>
      <c r="G956" s="67"/>
      <c r="H956" s="67"/>
      <c r="I956" s="67"/>
      <c r="J956" s="67"/>
      <c r="K956" s="3"/>
      <c r="L956" s="3"/>
      <c r="M956" s="3"/>
      <c r="N956" s="3"/>
    </row>
    <row r="957" spans="4:14" ht="15.75" customHeight="1">
      <c r="D957" s="1"/>
      <c r="E957" s="2"/>
      <c r="F957" s="2"/>
      <c r="G957" s="67"/>
      <c r="H957" s="67"/>
      <c r="I957" s="67"/>
      <c r="J957" s="67"/>
      <c r="K957" s="3"/>
      <c r="L957" s="3"/>
      <c r="M957" s="3"/>
      <c r="N957" s="3"/>
    </row>
    <row r="958" spans="4:14" ht="15.75" customHeight="1">
      <c r="D958" s="1"/>
      <c r="E958" s="2"/>
      <c r="F958" s="2"/>
      <c r="G958" s="67"/>
      <c r="H958" s="67"/>
      <c r="I958" s="67"/>
      <c r="J958" s="67"/>
      <c r="K958" s="3"/>
      <c r="L958" s="3"/>
      <c r="M958" s="3"/>
      <c r="N958" s="3"/>
    </row>
    <row r="959" spans="4:14" ht="15.75" customHeight="1">
      <c r="D959" s="1"/>
      <c r="E959" s="2"/>
      <c r="F959" s="2"/>
      <c r="G959" s="67"/>
      <c r="H959" s="67"/>
      <c r="I959" s="67"/>
      <c r="J959" s="67"/>
      <c r="K959" s="3"/>
      <c r="L959" s="3"/>
      <c r="M959" s="3"/>
      <c r="N959" s="3"/>
    </row>
    <row r="960" spans="4:14" ht="15.75" customHeight="1">
      <c r="D960" s="1"/>
      <c r="E960" s="2"/>
      <c r="F960" s="2"/>
      <c r="G960" s="67"/>
      <c r="H960" s="67"/>
      <c r="I960" s="67"/>
      <c r="J960" s="67"/>
      <c r="K960" s="3"/>
      <c r="L960" s="3"/>
      <c r="M960" s="3"/>
      <c r="N960" s="3"/>
    </row>
    <row r="961" spans="4:14" ht="15.75" customHeight="1">
      <c r="D961" s="1"/>
      <c r="E961" s="2"/>
      <c r="F961" s="2"/>
      <c r="G961" s="67"/>
      <c r="H961" s="67"/>
      <c r="I961" s="67"/>
      <c r="J961" s="67"/>
      <c r="K961" s="3"/>
      <c r="L961" s="3"/>
      <c r="M961" s="3"/>
      <c r="N961" s="3"/>
    </row>
    <row r="962" spans="4:14" ht="15.75" customHeight="1">
      <c r="D962" s="1"/>
      <c r="E962" s="2"/>
      <c r="F962" s="2"/>
      <c r="G962" s="67"/>
      <c r="H962" s="67"/>
      <c r="I962" s="67"/>
      <c r="J962" s="67"/>
      <c r="K962" s="3"/>
      <c r="L962" s="3"/>
      <c r="M962" s="3"/>
      <c r="N962" s="3"/>
    </row>
    <row r="963" spans="4:14" ht="15.75" customHeight="1">
      <c r="D963" s="1"/>
      <c r="E963" s="2"/>
      <c r="F963" s="2"/>
      <c r="G963" s="67"/>
      <c r="H963" s="67"/>
      <c r="I963" s="67"/>
      <c r="J963" s="67"/>
      <c r="K963" s="3"/>
      <c r="L963" s="3"/>
      <c r="M963" s="3"/>
      <c r="N963" s="3"/>
    </row>
    <row r="964" spans="4:14" ht="15.75" customHeight="1">
      <c r="D964" s="1"/>
      <c r="E964" s="2"/>
      <c r="F964" s="2"/>
      <c r="G964" s="67"/>
      <c r="H964" s="67"/>
      <c r="I964" s="67"/>
      <c r="J964" s="67"/>
      <c r="K964" s="3"/>
      <c r="L964" s="3"/>
      <c r="M964" s="3"/>
      <c r="N964" s="3"/>
    </row>
    <row r="965" spans="4:14" ht="15.75" customHeight="1">
      <c r="D965" s="1"/>
      <c r="E965" s="2"/>
      <c r="F965" s="2"/>
      <c r="G965" s="67"/>
      <c r="H965" s="67"/>
      <c r="I965" s="67"/>
      <c r="J965" s="67"/>
      <c r="K965" s="3"/>
      <c r="L965" s="3"/>
      <c r="M965" s="3"/>
      <c r="N965" s="3"/>
    </row>
    <row r="966" spans="4:14" ht="15.75" customHeight="1">
      <c r="D966" s="1"/>
      <c r="E966" s="2"/>
      <c r="F966" s="2"/>
      <c r="G966" s="67"/>
      <c r="H966" s="67"/>
      <c r="I966" s="67"/>
      <c r="J966" s="67"/>
      <c r="K966" s="3"/>
      <c r="L966" s="3"/>
      <c r="M966" s="3"/>
      <c r="N966" s="3"/>
    </row>
    <row r="967" spans="4:14" ht="15.75" customHeight="1">
      <c r="D967" s="1"/>
      <c r="E967" s="2"/>
      <c r="F967" s="2"/>
      <c r="G967" s="67"/>
      <c r="H967" s="67"/>
      <c r="I967" s="67"/>
      <c r="J967" s="67"/>
      <c r="K967" s="3"/>
      <c r="L967" s="3"/>
      <c r="M967" s="3"/>
      <c r="N967" s="3"/>
    </row>
    <row r="968" spans="4:14" ht="15.75" customHeight="1">
      <c r="D968" s="1"/>
      <c r="E968" s="2"/>
      <c r="F968" s="2"/>
      <c r="G968" s="67"/>
      <c r="H968" s="67"/>
      <c r="I968" s="67"/>
      <c r="J968" s="67"/>
      <c r="K968" s="3"/>
      <c r="L968" s="3"/>
      <c r="M968" s="3"/>
      <c r="N968" s="3"/>
    </row>
    <row r="969" spans="4:14" ht="15.75" customHeight="1">
      <c r="D969" s="1"/>
      <c r="E969" s="2"/>
      <c r="F969" s="2"/>
      <c r="G969" s="67"/>
      <c r="H969" s="67"/>
      <c r="I969" s="67"/>
      <c r="J969" s="67"/>
      <c r="K969" s="3"/>
      <c r="L969" s="3"/>
      <c r="M969" s="3"/>
      <c r="N969" s="3"/>
    </row>
    <row r="970" spans="4:14" ht="15.75" customHeight="1">
      <c r="D970" s="1"/>
      <c r="E970" s="2"/>
      <c r="F970" s="2"/>
      <c r="G970" s="67"/>
      <c r="H970" s="67"/>
      <c r="I970" s="67"/>
      <c r="J970" s="67"/>
      <c r="K970" s="3"/>
      <c r="L970" s="3"/>
      <c r="M970" s="3"/>
      <c r="N970" s="3"/>
    </row>
    <row r="971" spans="4:14" ht="15.75" customHeight="1">
      <c r="D971" s="1"/>
      <c r="E971" s="2"/>
      <c r="F971" s="2"/>
      <c r="G971" s="67"/>
      <c r="H971" s="67"/>
      <c r="I971" s="67"/>
      <c r="J971" s="67"/>
      <c r="K971" s="3"/>
      <c r="L971" s="3"/>
      <c r="M971" s="3"/>
      <c r="N971" s="3"/>
    </row>
    <row r="972" spans="4:14" ht="15.75" customHeight="1">
      <c r="D972" s="1"/>
      <c r="E972" s="2"/>
      <c r="F972" s="2"/>
      <c r="G972" s="67"/>
      <c r="H972" s="67"/>
      <c r="I972" s="67"/>
      <c r="J972" s="67"/>
      <c r="K972" s="3"/>
      <c r="L972" s="3"/>
      <c r="M972" s="3"/>
      <c r="N972" s="3"/>
    </row>
    <row r="973" spans="4:14" ht="15.75" customHeight="1">
      <c r="D973" s="1"/>
      <c r="E973" s="2"/>
      <c r="F973" s="2"/>
      <c r="G973" s="67"/>
      <c r="H973" s="67"/>
      <c r="I973" s="67"/>
      <c r="J973" s="67"/>
      <c r="K973" s="3"/>
      <c r="L973" s="3"/>
      <c r="M973" s="3"/>
      <c r="N973" s="3"/>
    </row>
    <row r="974" spans="4:14" ht="15.75" customHeight="1">
      <c r="D974" s="1"/>
      <c r="E974" s="2"/>
      <c r="F974" s="2"/>
      <c r="G974" s="67"/>
      <c r="H974" s="67"/>
      <c r="I974" s="67"/>
      <c r="J974" s="67"/>
      <c r="K974" s="3"/>
      <c r="L974" s="3"/>
      <c r="M974" s="3"/>
      <c r="N974" s="3"/>
    </row>
    <row r="975" spans="4:14" ht="15.75" customHeight="1">
      <c r="D975" s="1"/>
      <c r="E975" s="2"/>
      <c r="F975" s="2"/>
      <c r="G975" s="67"/>
      <c r="H975" s="67"/>
      <c r="I975" s="67"/>
      <c r="J975" s="67"/>
      <c r="K975" s="3"/>
      <c r="L975" s="3"/>
      <c r="M975" s="3"/>
      <c r="N975" s="3"/>
    </row>
    <row r="976" spans="4:14" ht="15.75" customHeight="1">
      <c r="D976" s="1"/>
      <c r="E976" s="2"/>
      <c r="F976" s="2"/>
      <c r="G976" s="67"/>
      <c r="H976" s="67"/>
      <c r="I976" s="67"/>
      <c r="J976" s="67"/>
      <c r="K976" s="3"/>
      <c r="L976" s="3"/>
      <c r="M976" s="3"/>
      <c r="N976" s="3"/>
    </row>
    <row r="977" spans="4:14" ht="15.75" customHeight="1">
      <c r="D977" s="1"/>
      <c r="E977" s="2"/>
      <c r="F977" s="2"/>
      <c r="G977" s="67"/>
      <c r="H977" s="67"/>
      <c r="I977" s="67"/>
      <c r="J977" s="67"/>
      <c r="K977" s="3"/>
      <c r="L977" s="3"/>
      <c r="M977" s="3"/>
      <c r="N977" s="3"/>
    </row>
    <row r="978" spans="4:14" ht="15.75" customHeight="1">
      <c r="D978" s="1"/>
      <c r="E978" s="2"/>
      <c r="F978" s="2"/>
      <c r="G978" s="67"/>
      <c r="H978" s="67"/>
      <c r="I978" s="67"/>
      <c r="J978" s="67"/>
      <c r="K978" s="3"/>
      <c r="L978" s="3"/>
      <c r="M978" s="3"/>
      <c r="N978" s="3"/>
    </row>
    <row r="979" spans="4:14" ht="15.75" customHeight="1">
      <c r="D979" s="1"/>
      <c r="E979" s="2"/>
      <c r="F979" s="2"/>
      <c r="G979" s="67"/>
      <c r="H979" s="67"/>
      <c r="I979" s="67"/>
      <c r="J979" s="67"/>
      <c r="K979" s="3"/>
      <c r="L979" s="3"/>
      <c r="M979" s="3"/>
      <c r="N979" s="3"/>
    </row>
    <row r="980" spans="4:14" ht="15.75" customHeight="1">
      <c r="D980" s="1"/>
      <c r="E980" s="2"/>
      <c r="F980" s="2"/>
      <c r="G980" s="67"/>
      <c r="H980" s="67"/>
      <c r="I980" s="67"/>
      <c r="J980" s="67"/>
      <c r="K980" s="3"/>
      <c r="L980" s="3"/>
      <c r="M980" s="3"/>
      <c r="N980" s="3"/>
    </row>
    <row r="981" spans="4:14" ht="15.75" customHeight="1">
      <c r="D981" s="1"/>
      <c r="E981" s="2"/>
      <c r="F981" s="2"/>
      <c r="G981" s="67"/>
      <c r="H981" s="67"/>
      <c r="I981" s="67"/>
      <c r="J981" s="67"/>
      <c r="K981" s="3"/>
      <c r="L981" s="3"/>
      <c r="M981" s="3"/>
      <c r="N981" s="3"/>
    </row>
    <row r="982" spans="4:14" ht="15.75" customHeight="1">
      <c r="D982" s="1"/>
      <c r="E982" s="2"/>
      <c r="F982" s="2"/>
      <c r="G982" s="67"/>
      <c r="H982" s="67"/>
      <c r="I982" s="67"/>
      <c r="J982" s="67"/>
      <c r="K982" s="3"/>
      <c r="L982" s="3"/>
      <c r="M982" s="3"/>
      <c r="N982" s="3"/>
    </row>
    <row r="983" spans="4:14" ht="15.75" customHeight="1">
      <c r="D983" s="1"/>
      <c r="E983" s="2"/>
      <c r="F983" s="2"/>
      <c r="G983" s="67"/>
      <c r="H983" s="67"/>
      <c r="I983" s="67"/>
      <c r="J983" s="67"/>
      <c r="K983" s="3"/>
      <c r="L983" s="3"/>
      <c r="M983" s="3"/>
      <c r="N983" s="3"/>
    </row>
    <row r="984" spans="4:14" ht="15.75" customHeight="1">
      <c r="D984" s="1"/>
      <c r="E984" s="2"/>
      <c r="F984" s="2"/>
      <c r="G984" s="67"/>
      <c r="H984" s="67"/>
      <c r="I984" s="67"/>
      <c r="J984" s="67"/>
      <c r="K984" s="3"/>
      <c r="L984" s="3"/>
      <c r="M984" s="3"/>
      <c r="N984" s="3"/>
    </row>
    <row r="985" spans="4:14" ht="15.75" customHeight="1">
      <c r="D985" s="1"/>
      <c r="E985" s="2"/>
      <c r="F985" s="2"/>
      <c r="G985" s="67"/>
      <c r="H985" s="67"/>
      <c r="I985" s="67"/>
      <c r="J985" s="67"/>
      <c r="K985" s="3"/>
      <c r="L985" s="3"/>
      <c r="M985" s="3"/>
      <c r="N985" s="3"/>
    </row>
    <row r="986" spans="4:14" ht="15.75" customHeight="1">
      <c r="D986" s="1"/>
      <c r="E986" s="2"/>
      <c r="F986" s="2"/>
      <c r="G986" s="67"/>
      <c r="H986" s="67"/>
      <c r="I986" s="67"/>
      <c r="J986" s="67"/>
      <c r="K986" s="3"/>
      <c r="L986" s="3"/>
      <c r="M986" s="3"/>
      <c r="N986" s="3"/>
    </row>
    <row r="987" spans="4:14" ht="15.75" customHeight="1">
      <c r="D987" s="1"/>
      <c r="E987" s="2"/>
      <c r="F987" s="2"/>
      <c r="G987" s="67"/>
      <c r="H987" s="67"/>
      <c r="I987" s="67"/>
      <c r="J987" s="67"/>
      <c r="K987" s="3"/>
      <c r="L987" s="3"/>
      <c r="M987" s="3"/>
      <c r="N987" s="3"/>
    </row>
    <row r="988" spans="4:14" ht="15.75" customHeight="1">
      <c r="D988" s="1"/>
      <c r="E988" s="2"/>
      <c r="F988" s="2"/>
      <c r="G988" s="67"/>
      <c r="H988" s="67"/>
      <c r="I988" s="67"/>
      <c r="J988" s="67"/>
      <c r="K988" s="3"/>
      <c r="L988" s="3"/>
      <c r="M988" s="3"/>
      <c r="N988" s="3"/>
    </row>
    <row r="989" spans="4:14" ht="15.75" customHeight="1">
      <c r="D989" s="1"/>
      <c r="E989" s="2"/>
      <c r="F989" s="2"/>
      <c r="G989" s="67"/>
      <c r="H989" s="67"/>
      <c r="I989" s="67"/>
      <c r="J989" s="67"/>
      <c r="K989" s="3"/>
      <c r="L989" s="3"/>
      <c r="M989" s="3"/>
      <c r="N989" s="3"/>
    </row>
    <row r="990" spans="4:14" ht="15.75" customHeight="1">
      <c r="D990" s="1"/>
      <c r="E990" s="2"/>
      <c r="F990" s="2"/>
      <c r="G990" s="67"/>
      <c r="H990" s="67"/>
      <c r="I990" s="67"/>
      <c r="J990" s="67"/>
      <c r="K990" s="3"/>
      <c r="L990" s="3"/>
      <c r="M990" s="3"/>
      <c r="N990" s="3"/>
    </row>
    <row r="991" spans="4:14" ht="15.75" customHeight="1">
      <c r="D991" s="1"/>
      <c r="E991" s="2"/>
      <c r="F991" s="2"/>
      <c r="G991" s="67"/>
      <c r="H991" s="67"/>
      <c r="I991" s="67"/>
      <c r="J991" s="67"/>
      <c r="K991" s="3"/>
      <c r="L991" s="3"/>
      <c r="M991" s="3"/>
      <c r="N991" s="3"/>
    </row>
    <row r="992" spans="4:14" ht="15.75" customHeight="1">
      <c r="D992" s="1"/>
      <c r="E992" s="2"/>
      <c r="F992" s="2"/>
      <c r="G992" s="67"/>
      <c r="H992" s="67"/>
      <c r="I992" s="67"/>
      <c r="J992" s="67"/>
      <c r="K992" s="3"/>
      <c r="L992" s="3"/>
      <c r="M992" s="3"/>
      <c r="N992" s="3"/>
    </row>
    <row r="993" spans="4:14" ht="15.75" customHeight="1">
      <c r="D993" s="1"/>
      <c r="E993" s="2"/>
      <c r="F993" s="2"/>
      <c r="G993" s="67"/>
      <c r="H993" s="67"/>
      <c r="I993" s="67"/>
      <c r="J993" s="67"/>
      <c r="K993" s="3"/>
      <c r="L993" s="3"/>
      <c r="M993" s="3"/>
      <c r="N993" s="3"/>
    </row>
    <row r="994" spans="4:14" ht="15.75" customHeight="1">
      <c r="D994" s="1"/>
      <c r="E994" s="2"/>
      <c r="F994" s="2"/>
      <c r="G994" s="67"/>
      <c r="H994" s="67"/>
      <c r="I994" s="67"/>
      <c r="J994" s="67"/>
      <c r="K994" s="3"/>
      <c r="L994" s="3"/>
      <c r="M994" s="3"/>
      <c r="N994" s="3"/>
    </row>
    <row r="995" spans="4:14" ht="15.75" customHeight="1">
      <c r="D995" s="1"/>
      <c r="E995" s="2"/>
      <c r="F995" s="2"/>
      <c r="G995" s="67"/>
      <c r="H995" s="67"/>
      <c r="I995" s="67"/>
      <c r="J995" s="67"/>
      <c r="K995" s="3"/>
      <c r="L995" s="3"/>
      <c r="M995" s="3"/>
      <c r="N995" s="3"/>
    </row>
    <row r="996" spans="4:14" ht="15.75" customHeight="1">
      <c r="D996" s="1"/>
      <c r="E996" s="2"/>
      <c r="F996" s="2"/>
      <c r="G996" s="67"/>
      <c r="H996" s="67"/>
      <c r="I996" s="67"/>
      <c r="J996" s="67"/>
      <c r="K996" s="3"/>
      <c r="L996" s="3"/>
      <c r="M996" s="3"/>
      <c r="N996" s="3"/>
    </row>
    <row r="997" spans="4:14" ht="15.75" customHeight="1">
      <c r="D997" s="1"/>
      <c r="E997" s="2"/>
      <c r="F997" s="2"/>
      <c r="G997" s="67"/>
      <c r="H997" s="67"/>
      <c r="I997" s="67"/>
      <c r="J997" s="67"/>
      <c r="K997" s="3"/>
      <c r="L997" s="3"/>
      <c r="M997" s="3"/>
      <c r="N997" s="3"/>
    </row>
    <row r="998" spans="4:14" ht="15.75" customHeight="1">
      <c r="D998" s="1"/>
      <c r="E998" s="2"/>
      <c r="F998" s="2"/>
      <c r="G998" s="67"/>
      <c r="H998" s="67"/>
      <c r="I998" s="67"/>
      <c r="J998" s="67"/>
      <c r="K998" s="3"/>
      <c r="L998" s="3"/>
      <c r="M998" s="3"/>
      <c r="N998" s="3"/>
    </row>
    <row r="999" spans="4:14" ht="15.75" customHeight="1">
      <c r="D999" s="1"/>
      <c r="E999" s="2"/>
      <c r="F999" s="2"/>
      <c r="G999" s="67"/>
      <c r="H999" s="67"/>
      <c r="I999" s="67"/>
      <c r="J999" s="67"/>
      <c r="K999" s="3"/>
      <c r="L999" s="3"/>
      <c r="M999" s="3"/>
      <c r="N999" s="3"/>
    </row>
    <row r="1000" spans="4:14" ht="15.75" customHeight="1">
      <c r="D1000" s="1"/>
      <c r="E1000" s="2"/>
      <c r="F1000" s="2"/>
      <c r="G1000" s="67"/>
      <c r="H1000" s="67"/>
      <c r="I1000" s="67"/>
      <c r="J1000" s="67"/>
      <c r="K1000" s="3"/>
      <c r="L1000" s="3"/>
      <c r="M1000" s="3"/>
      <c r="N1000" s="3"/>
    </row>
    <row r="1001" spans="4:14" ht="15.75" customHeight="1">
      <c r="D1001" s="1"/>
      <c r="E1001" s="2"/>
      <c r="F1001" s="2"/>
      <c r="G1001" s="67"/>
      <c r="H1001" s="67"/>
      <c r="I1001" s="67"/>
      <c r="J1001" s="67"/>
      <c r="K1001" s="3"/>
      <c r="L1001" s="3"/>
      <c r="M1001" s="3"/>
      <c r="N1001" s="3"/>
    </row>
    <row r="1002" spans="4:14" ht="15.75" customHeight="1">
      <c r="D1002" s="1"/>
      <c r="E1002" s="2"/>
      <c r="F1002" s="2"/>
      <c r="G1002" s="67"/>
      <c r="H1002" s="67"/>
      <c r="I1002" s="67"/>
      <c r="J1002" s="67"/>
      <c r="K1002" s="3"/>
      <c r="L1002" s="3"/>
      <c r="M1002" s="3"/>
      <c r="N1002" s="3"/>
    </row>
    <row r="1003" spans="4:14" ht="15.75" customHeight="1">
      <c r="D1003" s="1"/>
      <c r="E1003" s="2"/>
      <c r="F1003" s="2"/>
      <c r="G1003" s="67"/>
      <c r="H1003" s="67"/>
      <c r="I1003" s="67"/>
      <c r="J1003" s="67"/>
      <c r="K1003" s="3"/>
      <c r="L1003" s="3"/>
      <c r="M1003" s="3"/>
      <c r="N1003" s="3"/>
    </row>
    <row r="1004" spans="4:14" ht="15.75" customHeight="1">
      <c r="D1004" s="1"/>
      <c r="E1004" s="2"/>
      <c r="F1004" s="2"/>
      <c r="G1004" s="67"/>
      <c r="H1004" s="67"/>
      <c r="I1004" s="67"/>
      <c r="J1004" s="67"/>
      <c r="K1004" s="3"/>
      <c r="L1004" s="3"/>
      <c r="M1004" s="3"/>
      <c r="N1004" s="3"/>
    </row>
    <row r="1005" spans="4:14" ht="15.75" customHeight="1">
      <c r="D1005" s="1"/>
      <c r="E1005" s="2"/>
      <c r="F1005" s="2"/>
      <c r="G1005" s="67"/>
      <c r="H1005" s="67"/>
      <c r="I1005" s="67"/>
      <c r="J1005" s="67"/>
      <c r="K1005" s="3"/>
      <c r="L1005" s="3"/>
      <c r="M1005" s="3"/>
      <c r="N1005" s="3"/>
    </row>
    <row r="1006" spans="4:14">
      <c r="D1006" s="1"/>
      <c r="E1006" s="2"/>
      <c r="F1006" s="2"/>
      <c r="G1006" s="67"/>
      <c r="H1006" s="67"/>
      <c r="I1006" s="67"/>
      <c r="J1006" s="67"/>
      <c r="K1006" s="3"/>
      <c r="L1006" s="3"/>
      <c r="M1006" s="3"/>
      <c r="N1006" s="3"/>
    </row>
  </sheetData>
  <sheetProtection formatCells="0" formatColumns="0" formatRows="0" insertColumns="0" insertRows="0" deleteColumns="0" deleteRows="0"/>
  <mergeCells count="3">
    <mergeCell ref="C4:E4"/>
    <mergeCell ref="C3:E3"/>
    <mergeCell ref="C5:E5"/>
  </mergeCells>
  <dataValidations count="3">
    <dataValidation type="list" allowBlank="1" sqref="F9:F506" xr:uid="{E32BF2C4-6EAF-4504-B8B5-4926DF912FE9}">
      <formula1>"Citizen,Business,Government, Did Not Specify"</formula1>
    </dataValidation>
    <dataValidation type="list" allowBlank="1" sqref="E9:E506" xr:uid="{F9620314-E06C-42D4-80CD-BA5B725CE9D4}">
      <formula1>"M,F,Did not specify"</formula1>
    </dataValidation>
    <dataValidation type="list" allowBlank="1" sqref="D9:D506" xr:uid="{5DBB6820-DDC0-44D1-B4F8-BE4062ABE7D0}">
      <formula1>"19 or lower,20-34,35-49,50-64,65 or higher,Did not specify"</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568A1CC2-DDAC-416F-8776-FFF19B9572B0}">
          <x14:formula1>
            <xm:f>DropList!$R$2:$R$7</xm:f>
          </x14:formula1>
          <xm:sqref>G9:N506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29"/>
  <sheetViews>
    <sheetView tabSelected="1" zoomScale="85" zoomScaleNormal="85" zoomScaleSheetLayoutView="70" workbookViewId="0">
      <selection activeCell="A7" sqref="A7:J7"/>
    </sheetView>
  </sheetViews>
  <sheetFormatPr defaultColWidth="11.25" defaultRowHeight="15" customHeight="1"/>
  <cols>
    <col min="1" max="1" width="29.25" customWidth="1"/>
    <col min="2" max="2" width="18.25" customWidth="1"/>
    <col min="3" max="3" width="21.5" customWidth="1"/>
    <col min="4" max="4" width="16.375" customWidth="1"/>
    <col min="5" max="5" width="18.5" customWidth="1"/>
    <col min="6" max="6" width="18" customWidth="1"/>
    <col min="7" max="7" width="18.75" customWidth="1"/>
    <col min="8" max="8" width="21.75" customWidth="1"/>
    <col min="9" max="9" width="19.25" customWidth="1"/>
    <col min="10" max="10" width="17.375" customWidth="1"/>
    <col min="11" max="11" width="15.875" customWidth="1"/>
    <col min="12" max="26" width="10.625" customWidth="1"/>
  </cols>
  <sheetData>
    <row r="1" spans="1:26" ht="15.75" customHeight="1">
      <c r="A1" s="6"/>
      <c r="B1" s="6"/>
      <c r="C1" s="6"/>
      <c r="D1" s="6"/>
      <c r="E1" s="6"/>
      <c r="F1" s="6"/>
      <c r="G1" s="6"/>
      <c r="H1" s="6"/>
      <c r="I1" s="6"/>
      <c r="J1" s="111" t="s">
        <v>30</v>
      </c>
      <c r="K1" s="111" t="s">
        <v>104</v>
      </c>
      <c r="L1" s="6"/>
      <c r="M1" s="6"/>
      <c r="N1" s="6"/>
      <c r="O1" s="6"/>
      <c r="P1" s="6"/>
      <c r="Q1" s="6"/>
      <c r="R1" s="6"/>
      <c r="S1" s="6"/>
      <c r="T1" s="6"/>
      <c r="U1" s="6"/>
      <c r="V1" s="6"/>
      <c r="W1" s="6"/>
      <c r="X1" s="6"/>
      <c r="Y1" s="6"/>
      <c r="Z1" s="6"/>
    </row>
    <row r="2" spans="1:26" ht="15.75" customHeight="1">
      <c r="A2" s="6"/>
      <c r="B2" s="6"/>
      <c r="C2" s="6"/>
      <c r="D2" s="6"/>
      <c r="E2" s="6"/>
      <c r="F2" s="6"/>
      <c r="G2" s="6"/>
      <c r="H2" s="6"/>
      <c r="I2" s="6"/>
      <c r="J2" s="111" t="s">
        <v>33</v>
      </c>
      <c r="K2" s="112">
        <v>0</v>
      </c>
      <c r="L2" s="6"/>
      <c r="M2" s="6"/>
      <c r="N2" s="6"/>
      <c r="O2" s="6"/>
      <c r="P2" s="6"/>
      <c r="Q2" s="6"/>
      <c r="R2" s="6"/>
      <c r="S2" s="6"/>
      <c r="T2" s="6"/>
      <c r="U2" s="6"/>
      <c r="V2" s="6"/>
      <c r="W2" s="6"/>
      <c r="X2" s="6"/>
      <c r="Y2" s="6"/>
      <c r="Z2" s="6"/>
    </row>
    <row r="3" spans="1:26" ht="15.75" customHeight="1">
      <c r="A3" s="6"/>
      <c r="B3" s="6"/>
      <c r="C3" s="6"/>
      <c r="D3" s="6"/>
      <c r="E3" s="6"/>
      <c r="F3" s="6"/>
      <c r="G3" s="6"/>
      <c r="H3" s="6"/>
      <c r="I3" s="6"/>
      <c r="J3" s="111" t="s">
        <v>35</v>
      </c>
      <c r="K3" s="113" t="s">
        <v>36</v>
      </c>
      <c r="L3" s="6"/>
      <c r="M3" s="6"/>
      <c r="N3" s="6"/>
      <c r="O3" s="6"/>
      <c r="P3" s="6"/>
      <c r="Q3" s="6"/>
      <c r="R3" s="6"/>
      <c r="S3" s="6"/>
      <c r="T3" s="6"/>
      <c r="U3" s="6"/>
      <c r="V3" s="6"/>
      <c r="W3" s="6"/>
      <c r="X3" s="6"/>
      <c r="Y3" s="6"/>
      <c r="Z3" s="6"/>
    </row>
    <row r="4" spans="1:26" ht="15.75" customHeight="1">
      <c r="A4" s="6"/>
      <c r="B4" s="6"/>
      <c r="C4" s="6"/>
      <c r="D4" s="6"/>
      <c r="E4" s="6"/>
      <c r="F4" s="6"/>
      <c r="G4" s="6"/>
      <c r="H4" s="6"/>
      <c r="I4" s="6"/>
      <c r="J4" s="6"/>
      <c r="K4" s="6"/>
      <c r="L4" s="6"/>
      <c r="M4" s="6"/>
      <c r="N4" s="6"/>
      <c r="O4" s="6"/>
      <c r="P4" s="6"/>
      <c r="Q4" s="6"/>
      <c r="R4" s="6"/>
      <c r="S4" s="6"/>
      <c r="T4" s="6"/>
      <c r="U4" s="6"/>
      <c r="V4" s="6"/>
      <c r="W4" s="6"/>
      <c r="X4" s="6"/>
      <c r="Y4" s="6"/>
      <c r="Z4" s="6"/>
    </row>
    <row r="5" spans="1:26" ht="15.75" customHeight="1">
      <c r="A5" s="6"/>
      <c r="B5" s="6"/>
      <c r="C5" s="6"/>
      <c r="D5" s="6"/>
      <c r="E5" s="6"/>
      <c r="F5" s="6"/>
      <c r="G5" s="6"/>
      <c r="H5" s="6"/>
      <c r="I5" s="6"/>
      <c r="J5" s="6"/>
      <c r="K5" s="6"/>
      <c r="L5" s="6"/>
      <c r="M5" s="6"/>
      <c r="N5" s="6"/>
      <c r="O5" s="6"/>
      <c r="P5" s="6"/>
      <c r="Q5" s="6"/>
      <c r="R5" s="6"/>
      <c r="S5" s="6"/>
      <c r="T5" s="6"/>
      <c r="U5" s="6"/>
      <c r="V5" s="6"/>
      <c r="W5" s="6"/>
      <c r="X5" s="6"/>
      <c r="Y5" s="6"/>
      <c r="Z5" s="6"/>
    </row>
    <row r="6" spans="1:26" ht="15.75" customHeight="1">
      <c r="A6" s="136" t="s">
        <v>105</v>
      </c>
      <c r="B6" s="153"/>
      <c r="C6" s="153"/>
      <c r="D6" s="153"/>
      <c r="E6" s="153"/>
      <c r="F6" s="153"/>
      <c r="G6" s="153"/>
      <c r="H6" s="153"/>
      <c r="I6" s="153"/>
      <c r="J6" s="153"/>
      <c r="K6" s="6"/>
      <c r="L6" s="6"/>
      <c r="M6" s="6"/>
      <c r="N6" s="6"/>
      <c r="O6" s="6"/>
      <c r="P6" s="6"/>
      <c r="Q6" s="6"/>
      <c r="R6" s="6"/>
      <c r="S6" s="6"/>
      <c r="T6" s="6"/>
      <c r="U6" s="6"/>
      <c r="V6" s="6"/>
      <c r="W6" s="6"/>
      <c r="X6" s="6"/>
      <c r="Y6" s="6"/>
      <c r="Z6" s="6"/>
    </row>
    <row r="7" spans="1:26" s="46" customFormat="1" ht="15.75" customHeight="1">
      <c r="A7" s="137" t="s">
        <v>106</v>
      </c>
      <c r="B7" s="154"/>
      <c r="C7" s="154"/>
      <c r="D7" s="154"/>
      <c r="E7" s="154"/>
      <c r="F7" s="154"/>
      <c r="G7" s="154"/>
      <c r="H7" s="154"/>
      <c r="I7" s="154"/>
      <c r="J7" s="154"/>
      <c r="K7" s="37"/>
      <c r="L7" s="37"/>
      <c r="M7" s="37"/>
      <c r="N7" s="37"/>
      <c r="O7" s="37"/>
      <c r="P7" s="37"/>
      <c r="Q7" s="37"/>
      <c r="R7" s="37"/>
      <c r="S7" s="37"/>
      <c r="T7" s="37"/>
      <c r="U7" s="37"/>
      <c r="V7" s="37"/>
      <c r="W7" s="37"/>
      <c r="X7" s="37"/>
      <c r="Y7" s="37"/>
      <c r="Z7" s="37"/>
    </row>
    <row r="8" spans="1:26" s="46" customFormat="1" ht="15.75" customHeight="1">
      <c r="A8" s="137" t="s">
        <v>107</v>
      </c>
      <c r="B8" s="154"/>
      <c r="C8" s="154"/>
      <c r="D8" s="154"/>
      <c r="E8" s="154"/>
      <c r="F8" s="154"/>
      <c r="G8" s="154"/>
      <c r="H8" s="154"/>
      <c r="I8" s="154"/>
      <c r="J8" s="154"/>
      <c r="K8" s="37"/>
      <c r="L8" s="37"/>
      <c r="M8" s="37"/>
      <c r="N8" s="37"/>
      <c r="O8" s="37"/>
      <c r="P8" s="37"/>
      <c r="Q8" s="37"/>
      <c r="R8" s="37"/>
      <c r="S8" s="37"/>
      <c r="T8" s="37"/>
      <c r="U8" s="37"/>
      <c r="V8" s="37"/>
      <c r="W8" s="37"/>
      <c r="X8" s="37"/>
      <c r="Y8" s="37"/>
      <c r="Z8" s="37"/>
    </row>
    <row r="9" spans="1:26" ht="15.75" customHeight="1">
      <c r="A9" s="6"/>
      <c r="B9" s="6"/>
      <c r="C9" s="6"/>
      <c r="D9" s="6"/>
      <c r="E9" s="6"/>
      <c r="F9" s="6"/>
      <c r="G9" s="6"/>
      <c r="H9" s="6"/>
      <c r="I9" s="6"/>
      <c r="J9" s="6"/>
      <c r="K9" s="6"/>
      <c r="L9" s="6"/>
      <c r="M9" s="6"/>
      <c r="N9" s="6"/>
      <c r="O9" s="6"/>
      <c r="P9" s="6"/>
      <c r="Q9" s="6"/>
      <c r="R9" s="6"/>
      <c r="S9" s="6"/>
      <c r="T9" s="6"/>
      <c r="U9" s="6"/>
      <c r="V9" s="6"/>
      <c r="W9" s="6"/>
      <c r="X9" s="6"/>
      <c r="Y9" s="6"/>
      <c r="Z9" s="6"/>
    </row>
    <row r="10" spans="1:26" ht="15.75" customHeight="1">
      <c r="A10" s="7" t="s">
        <v>108</v>
      </c>
      <c r="B10" s="138"/>
      <c r="C10" s="155"/>
      <c r="D10" s="155"/>
      <c r="E10" s="6"/>
      <c r="F10" s="6"/>
      <c r="G10" s="6"/>
      <c r="H10" s="129" t="s">
        <v>109</v>
      </c>
      <c r="I10" s="34">
        <f>F47</f>
        <v>31</v>
      </c>
      <c r="J10" s="6"/>
      <c r="K10" s="6"/>
      <c r="L10" s="6"/>
      <c r="M10" s="6"/>
      <c r="N10" s="6"/>
      <c r="O10" s="6"/>
      <c r="P10" s="6"/>
      <c r="Q10" s="6"/>
      <c r="R10" s="6"/>
      <c r="S10" s="6"/>
      <c r="T10" s="6"/>
      <c r="U10" s="6"/>
      <c r="V10" s="6"/>
      <c r="W10" s="6"/>
      <c r="X10" s="6"/>
      <c r="Y10" s="6"/>
      <c r="Z10" s="6"/>
    </row>
    <row r="11" spans="1:26" ht="15.75" customHeight="1">
      <c r="A11" s="7" t="s">
        <v>110</v>
      </c>
      <c r="B11" s="148"/>
      <c r="C11" s="148"/>
      <c r="D11" s="148"/>
      <c r="E11" s="37"/>
      <c r="F11" s="37"/>
      <c r="G11" s="37"/>
      <c r="H11" s="129" t="s">
        <v>111</v>
      </c>
      <c r="I11" s="109">
        <v>35</v>
      </c>
      <c r="J11" s="6"/>
      <c r="K11" s="6"/>
      <c r="L11" s="6"/>
      <c r="M11" s="6"/>
      <c r="N11" s="6"/>
      <c r="O11" s="6"/>
      <c r="P11" s="6"/>
      <c r="Q11" s="6"/>
      <c r="R11" s="6"/>
      <c r="S11" s="6"/>
      <c r="T11" s="6"/>
      <c r="U11" s="6"/>
      <c r="V11" s="6"/>
      <c r="W11" s="6"/>
      <c r="X11" s="6"/>
      <c r="Y11" s="6"/>
      <c r="Z11" s="6"/>
    </row>
    <row r="12" spans="1:26" ht="15.75" customHeight="1">
      <c r="A12" s="6"/>
      <c r="B12" s="37"/>
      <c r="C12" s="37"/>
      <c r="D12" s="37"/>
      <c r="E12" s="37"/>
      <c r="F12" s="37"/>
      <c r="G12" s="37"/>
      <c r="H12" s="129" t="s">
        <v>112</v>
      </c>
      <c r="I12" s="35">
        <f>I10/I11</f>
        <v>0.88571428571428568</v>
      </c>
      <c r="J12" s="6"/>
      <c r="K12" s="6"/>
      <c r="L12" s="6"/>
      <c r="M12" s="6"/>
      <c r="N12" s="6"/>
      <c r="O12" s="6"/>
      <c r="P12" s="6"/>
      <c r="Q12" s="6"/>
      <c r="R12" s="6"/>
      <c r="S12" s="6"/>
      <c r="T12" s="6"/>
      <c r="U12" s="6"/>
      <c r="V12" s="6"/>
      <c r="W12" s="6"/>
      <c r="X12" s="6"/>
      <c r="Y12" s="6"/>
      <c r="Z12" s="6"/>
    </row>
    <row r="13" spans="1:26" ht="15.75" customHeight="1">
      <c r="A13" s="6"/>
      <c r="B13" s="37"/>
      <c r="C13" s="37"/>
      <c r="D13" s="37"/>
      <c r="E13" s="37"/>
      <c r="F13" s="37"/>
      <c r="G13" s="37"/>
      <c r="H13" s="131" t="s">
        <v>113</v>
      </c>
      <c r="I13" s="156">
        <f>J44+J45</f>
        <v>0.91904761904761911</v>
      </c>
      <c r="J13" s="6"/>
      <c r="K13" s="6"/>
      <c r="L13" s="6"/>
      <c r="M13" s="6"/>
      <c r="N13" s="6"/>
      <c r="O13" s="6"/>
      <c r="P13" s="6"/>
      <c r="Q13" s="6"/>
      <c r="R13" s="6"/>
      <c r="S13" s="6"/>
      <c r="T13" s="6"/>
      <c r="U13" s="6"/>
      <c r="V13" s="6"/>
      <c r="W13" s="6"/>
      <c r="X13" s="6"/>
      <c r="Y13" s="6"/>
      <c r="Z13" s="6"/>
    </row>
    <row r="14" spans="1:26" ht="15.75" customHeight="1">
      <c r="A14" s="7" t="s">
        <v>114</v>
      </c>
      <c r="B14" s="7"/>
      <c r="C14" s="6"/>
      <c r="D14" s="6"/>
      <c r="E14" s="6"/>
      <c r="F14" s="7"/>
      <c r="G14" s="6"/>
      <c r="H14" s="130" t="s">
        <v>115</v>
      </c>
      <c r="I14" s="126" t="str" cm="1">
        <f t="array" ref="I14">IF(I13=0,"N/A",_xlfn.IFS(I13&gt;=0.95,"Outstanding",I13&gt;=0.9,"Very Satisfactory",I13&gt;=0.8,"Satisfactory",I13&gt;=0.6,"Fair",I13&lt;0.6,"Poor"))</f>
        <v>Very Satisfactory</v>
      </c>
      <c r="J14" s="6"/>
      <c r="K14" s="6"/>
      <c r="L14" s="6"/>
      <c r="M14" s="6"/>
      <c r="N14" s="6"/>
      <c r="O14" s="6"/>
      <c r="P14" s="6"/>
      <c r="Q14" s="6"/>
      <c r="R14" s="6"/>
      <c r="S14" s="6"/>
      <c r="T14" s="6"/>
      <c r="U14" s="6"/>
      <c r="V14" s="6"/>
      <c r="W14" s="6"/>
      <c r="X14" s="6"/>
      <c r="Y14" s="6"/>
      <c r="Z14" s="6"/>
    </row>
    <row r="15" spans="1:26"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thickBo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thickBot="1">
      <c r="A17" s="9" t="s">
        <v>116</v>
      </c>
      <c r="B17" s="10" t="s">
        <v>117</v>
      </c>
      <c r="C17" s="10" t="s">
        <v>46</v>
      </c>
      <c r="D17" s="10" t="s">
        <v>47</v>
      </c>
      <c r="E17" s="10" t="s">
        <v>48</v>
      </c>
      <c r="F17" s="10" t="s">
        <v>118</v>
      </c>
      <c r="G17" s="10" t="s">
        <v>50</v>
      </c>
      <c r="H17" s="10" t="s">
        <v>51</v>
      </c>
      <c r="I17" s="10" t="s">
        <v>52</v>
      </c>
      <c r="J17" s="10" t="s">
        <v>53</v>
      </c>
      <c r="K17" s="11" t="s">
        <v>54</v>
      </c>
      <c r="L17" s="6"/>
      <c r="M17" s="6"/>
      <c r="N17" s="6"/>
      <c r="O17" s="6"/>
      <c r="P17" s="6"/>
      <c r="Q17" s="6"/>
      <c r="R17" s="6"/>
      <c r="S17" s="6"/>
      <c r="T17" s="6"/>
      <c r="U17" s="6"/>
      <c r="V17" s="6"/>
      <c r="W17" s="6"/>
      <c r="X17" s="6"/>
      <c r="Y17" s="6"/>
      <c r="Z17" s="6"/>
    </row>
    <row r="18" spans="1:26" ht="15.75" customHeight="1">
      <c r="A18" s="6" t="s">
        <v>5</v>
      </c>
      <c r="B18" s="8">
        <f t="shared" ref="B18:B23" si="0">SUM(D18:K18)</f>
        <v>116</v>
      </c>
      <c r="C18" s="65">
        <f>COUNTIF('Tabulation Sheet'!$J$9:$J$1048576,"5")</f>
        <v>30</v>
      </c>
      <c r="D18" s="65">
        <f>COUNTIF('Tabulation Sheet'!$K$9:$K$1048576,"5")</f>
        <v>29</v>
      </c>
      <c r="E18" s="65">
        <f>COUNTIF('Tabulation Sheet'!$L$9:$L$1048576,"5")</f>
        <v>16</v>
      </c>
      <c r="F18" s="65">
        <f>COUNTIF('Tabulation Sheet'!$M$9:$M$1048576,"5")</f>
        <v>30</v>
      </c>
      <c r="G18" s="65">
        <f>COUNTIF('Tabulation Sheet'!$N$9:$N$1048576,"5")</f>
        <v>11</v>
      </c>
      <c r="H18" s="65">
        <f>COUNTIF('Tabulation Sheet'!$O$9:$O$1048576,"5")</f>
        <v>0</v>
      </c>
      <c r="I18" s="65">
        <f>COUNTIF('Tabulation Sheet'!$P$9:$P$1048576,"5")</f>
        <v>0</v>
      </c>
      <c r="J18" s="65">
        <f>COUNTIF('Tabulation Sheet'!$Q$9:$Q$1048576,"5")</f>
        <v>30</v>
      </c>
      <c r="K18" s="65">
        <f>COUNTIF('Tabulation Sheet'!$R$9:$R$1048576,"5")</f>
        <v>0</v>
      </c>
      <c r="L18" s="6"/>
      <c r="M18" s="6"/>
      <c r="N18" s="6"/>
      <c r="O18" s="6"/>
      <c r="P18" s="6"/>
      <c r="Q18" s="6"/>
      <c r="R18" s="6"/>
      <c r="S18" s="6"/>
      <c r="T18" s="6"/>
      <c r="U18" s="6"/>
      <c r="V18" s="6"/>
      <c r="W18" s="6"/>
      <c r="X18" s="6"/>
      <c r="Y18" s="6"/>
      <c r="Z18" s="6"/>
    </row>
    <row r="19" spans="1:26" ht="15.75" customHeight="1">
      <c r="A19" s="6" t="s">
        <v>8</v>
      </c>
      <c r="B19" s="8">
        <f t="shared" si="0"/>
        <v>77</v>
      </c>
      <c r="C19" s="65">
        <f>COUNTIF('Tabulation Sheet'!$J$9:$J$1048576,"4")</f>
        <v>0</v>
      </c>
      <c r="D19" s="65">
        <f>COUNTIF('Tabulation Sheet'!$K$9:$K$1048576,"4")</f>
        <v>0</v>
      </c>
      <c r="E19" s="65">
        <f>COUNTIF('Tabulation Sheet'!$L$9:$L$1048576,"4")</f>
        <v>5</v>
      </c>
      <c r="F19" s="65">
        <f>COUNTIF('Tabulation Sheet'!$M$9:$M$1048576,"4")</f>
        <v>0</v>
      </c>
      <c r="G19" s="65">
        <f>COUNTIF('Tabulation Sheet'!$N$9:$N$1048576,"4")</f>
        <v>18</v>
      </c>
      <c r="H19" s="65">
        <f>COUNTIF('Tabulation Sheet'!$O$9:$O$1048576,"4")</f>
        <v>0</v>
      </c>
      <c r="I19" s="65">
        <f>COUNTIF('Tabulation Sheet'!$P$9:$P$1048576,"4")</f>
        <v>24</v>
      </c>
      <c r="J19" s="65">
        <f>COUNTIF('Tabulation Sheet'!$Q$9:$Q$1048576,"4")</f>
        <v>0</v>
      </c>
      <c r="K19" s="65">
        <f>COUNTIF('Tabulation Sheet'!$R$9:$R$1048576,"4")</f>
        <v>30</v>
      </c>
      <c r="L19" s="6"/>
      <c r="M19" s="6"/>
      <c r="N19" s="6"/>
      <c r="O19" s="6"/>
      <c r="P19" s="6"/>
      <c r="Q19" s="6"/>
      <c r="R19" s="6"/>
      <c r="S19" s="6"/>
      <c r="T19" s="6"/>
      <c r="U19" s="6"/>
      <c r="V19" s="6"/>
      <c r="W19" s="6"/>
      <c r="X19" s="6"/>
      <c r="Y19" s="6"/>
      <c r="Z19" s="6"/>
    </row>
    <row r="20" spans="1:26" ht="15.75" customHeight="1">
      <c r="A20" s="6" t="s">
        <v>11</v>
      </c>
      <c r="B20" s="8">
        <f t="shared" si="0"/>
        <v>16</v>
      </c>
      <c r="C20" s="65">
        <f>COUNTIF('Tabulation Sheet'!$J$9:$J$1048576,"3")</f>
        <v>0</v>
      </c>
      <c r="D20" s="65">
        <f>COUNTIF('Tabulation Sheet'!$K$9:$K$1048576,"3")</f>
        <v>0</v>
      </c>
      <c r="E20" s="65">
        <f>COUNTIF('Tabulation Sheet'!$L$9:$L$1048576,"3")</f>
        <v>9</v>
      </c>
      <c r="F20" s="65">
        <f>COUNTIF('Tabulation Sheet'!$M$9:$M$1048576,"3")</f>
        <v>0</v>
      </c>
      <c r="G20" s="65">
        <f>COUNTIF('Tabulation Sheet'!$N$9:$N$1048576,"3")</f>
        <v>1</v>
      </c>
      <c r="H20" s="65">
        <f>COUNTIF('Tabulation Sheet'!$O$9:$O$1048576,"3")</f>
        <v>0</v>
      </c>
      <c r="I20" s="65">
        <f>COUNTIF('Tabulation Sheet'!$P$9:$P$1048576,"3")</f>
        <v>6</v>
      </c>
      <c r="J20" s="65">
        <f>COUNTIF('Tabulation Sheet'!$Q$9:$Q$1048576,"3")</f>
        <v>0</v>
      </c>
      <c r="K20" s="65">
        <f>COUNTIF('Tabulation Sheet'!$R$9:$R$1048576,"3")</f>
        <v>0</v>
      </c>
      <c r="L20" s="6"/>
      <c r="M20" s="6"/>
      <c r="N20" s="6"/>
      <c r="O20" s="6"/>
      <c r="P20" s="6"/>
      <c r="Q20" s="6"/>
      <c r="R20" s="6"/>
      <c r="S20" s="6"/>
      <c r="T20" s="6"/>
      <c r="U20" s="6"/>
      <c r="V20" s="6"/>
      <c r="W20" s="6"/>
      <c r="X20" s="6"/>
      <c r="Y20" s="6"/>
      <c r="Z20" s="6"/>
    </row>
    <row r="21" spans="1:26" ht="15.75" customHeight="1">
      <c r="A21" s="6" t="s">
        <v>119</v>
      </c>
      <c r="B21" s="8">
        <f t="shared" si="0"/>
        <v>1</v>
      </c>
      <c r="C21" s="65">
        <f>COUNTIF('Tabulation Sheet'!$J$9:$J$1048576,"2")</f>
        <v>0</v>
      </c>
      <c r="D21" s="65">
        <f>COUNTIF('Tabulation Sheet'!$K$9:$K$1048576,"2")</f>
        <v>1</v>
      </c>
      <c r="E21" s="65">
        <f>COUNTIF('Tabulation Sheet'!$L$9:$L$1048576,"2")</f>
        <v>0</v>
      </c>
      <c r="F21" s="65">
        <f>COUNTIF('Tabulation Sheet'!$M$9:$M$1048576,"2")</f>
        <v>0</v>
      </c>
      <c r="G21" s="65">
        <f>COUNTIF('Tabulation Sheet'!$N$9:$N$1048576,"2")</f>
        <v>0</v>
      </c>
      <c r="H21" s="65">
        <f>COUNTIF('Tabulation Sheet'!$O$9:$O$1048576,"2")</f>
        <v>0</v>
      </c>
      <c r="I21" s="65">
        <f>COUNTIF('Tabulation Sheet'!$P$9:$P$1048576,"2")</f>
        <v>0</v>
      </c>
      <c r="J21" s="65">
        <f>COUNTIF('Tabulation Sheet'!$Q$9:$Q$1048576,"2")</f>
        <v>0</v>
      </c>
      <c r="K21" s="65">
        <f>COUNTIF('Tabulation Sheet'!$R$9:$R$1048576,"2")</f>
        <v>0</v>
      </c>
      <c r="L21" s="6"/>
      <c r="M21" s="6"/>
      <c r="N21" s="6"/>
      <c r="O21" s="6"/>
      <c r="P21" s="6"/>
      <c r="Q21" s="6"/>
      <c r="R21" s="6"/>
      <c r="S21" s="6"/>
      <c r="T21" s="6"/>
      <c r="U21" s="6"/>
      <c r="V21" s="6"/>
      <c r="W21" s="6"/>
      <c r="X21" s="6"/>
      <c r="Y21" s="6"/>
      <c r="Z21" s="6"/>
    </row>
    <row r="22" spans="1:26" ht="15.75" customHeight="1">
      <c r="A22" s="6" t="s">
        <v>120</v>
      </c>
      <c r="B22" s="8">
        <f t="shared" si="0"/>
        <v>0</v>
      </c>
      <c r="C22" s="65">
        <f>COUNTIF('Tabulation Sheet'!$J$9:$J$1048576,"1")</f>
        <v>0</v>
      </c>
      <c r="D22" s="65">
        <f>COUNTIF('Tabulation Sheet'!$K$9:$K$1048576,"1")</f>
        <v>0</v>
      </c>
      <c r="E22" s="65">
        <f>COUNTIF('Tabulation Sheet'!$L$9:$L$1048576,"1")</f>
        <v>0</v>
      </c>
      <c r="F22" s="65">
        <f>COUNTIF('Tabulation Sheet'!$M$9:$M$1048576,"1")</f>
        <v>0</v>
      </c>
      <c r="G22" s="65">
        <f>COUNTIF('Tabulation Sheet'!$N$9:$N$1048576,"1")</f>
        <v>0</v>
      </c>
      <c r="H22" s="65">
        <f>COUNTIF('Tabulation Sheet'!$O$9:$O$1048576,"1")</f>
        <v>0</v>
      </c>
      <c r="I22" s="65">
        <f>COUNTIF('Tabulation Sheet'!$P$9:$P$1048576,"1")</f>
        <v>0</v>
      </c>
      <c r="J22" s="65">
        <f>COUNTIF('Tabulation Sheet'!$Q$9:$Q$1048576,"1")</f>
        <v>0</v>
      </c>
      <c r="K22" s="65">
        <f>COUNTIF('Tabulation Sheet'!$R$9:$R$1048576,"1")</f>
        <v>0</v>
      </c>
      <c r="L22" s="6"/>
      <c r="M22" s="6"/>
      <c r="N22" s="6"/>
      <c r="O22" s="6"/>
      <c r="P22" s="6"/>
      <c r="Q22" s="6"/>
      <c r="R22" s="6"/>
      <c r="S22" s="6"/>
      <c r="T22" s="6"/>
      <c r="U22" s="6"/>
      <c r="V22" s="6"/>
      <c r="W22" s="6"/>
      <c r="X22" s="6"/>
      <c r="Y22" s="6"/>
      <c r="Z22" s="6"/>
    </row>
    <row r="23" spans="1:26" ht="15.75" customHeight="1">
      <c r="A23" s="6" t="s">
        <v>121</v>
      </c>
      <c r="B23" s="8">
        <f t="shared" si="0"/>
        <v>38</v>
      </c>
      <c r="C23" s="65">
        <f>COUNTIF('Tabulation Sheet'!$J$9:$J$1048576,"-")</f>
        <v>1</v>
      </c>
      <c r="D23" s="65">
        <f>COUNTIF('Tabulation Sheet'!$K$9:$K$1048576,"-")</f>
        <v>1</v>
      </c>
      <c r="E23" s="65">
        <f>COUNTIF('Tabulation Sheet'!$L$9:$L$1048576,"-")</f>
        <v>1</v>
      </c>
      <c r="F23" s="65">
        <f>COUNTIF('Tabulation Sheet'!$M$9:$M$1048576,"-")</f>
        <v>1</v>
      </c>
      <c r="G23" s="65">
        <f>COUNTIF('Tabulation Sheet'!$N$9:$N$1048576,"-")</f>
        <v>1</v>
      </c>
      <c r="H23" s="65">
        <f>COUNTIF('Tabulation Sheet'!$O$9:$O$1048576,"-")</f>
        <v>31</v>
      </c>
      <c r="I23" s="65">
        <f>COUNTIF('Tabulation Sheet'!$P$9:$P$1048576,"-")</f>
        <v>1</v>
      </c>
      <c r="J23" s="65">
        <f>COUNTIF('Tabulation Sheet'!$Q$9:$Q$1048576,"-")</f>
        <v>1</v>
      </c>
      <c r="K23" s="65">
        <f>COUNTIF('Tabulation Sheet'!$R$9:$R$1048576,"-")</f>
        <v>1</v>
      </c>
      <c r="L23" s="6"/>
      <c r="M23" s="6"/>
      <c r="N23" s="6"/>
      <c r="O23" s="6"/>
      <c r="P23" s="6"/>
      <c r="Q23" s="6"/>
      <c r="R23" s="6"/>
      <c r="S23" s="6"/>
      <c r="T23" s="6"/>
      <c r="U23" s="6"/>
      <c r="V23" s="6"/>
      <c r="W23" s="6"/>
      <c r="X23" s="6"/>
      <c r="Y23" s="6"/>
      <c r="Z23" s="6"/>
    </row>
    <row r="24" spans="1:26" ht="15.75" customHeight="1">
      <c r="A24" s="12" t="s">
        <v>122</v>
      </c>
      <c r="B24" s="13">
        <f t="shared" ref="B24" si="1">SUM(B18:B23)</f>
        <v>248</v>
      </c>
      <c r="C24" s="13">
        <f t="shared" ref="C24:K24" si="2">SUM(C18:C23)</f>
        <v>31</v>
      </c>
      <c r="D24" s="13">
        <f t="shared" si="2"/>
        <v>31</v>
      </c>
      <c r="E24" s="13">
        <f t="shared" si="2"/>
        <v>31</v>
      </c>
      <c r="F24" s="13">
        <f t="shared" si="2"/>
        <v>31</v>
      </c>
      <c r="G24" s="13">
        <f t="shared" si="2"/>
        <v>31</v>
      </c>
      <c r="H24" s="13">
        <f t="shared" si="2"/>
        <v>31</v>
      </c>
      <c r="I24" s="13">
        <f t="shared" si="2"/>
        <v>31</v>
      </c>
      <c r="J24" s="13">
        <f t="shared" si="2"/>
        <v>31</v>
      </c>
      <c r="K24" s="13">
        <f t="shared" si="2"/>
        <v>31</v>
      </c>
      <c r="L24" s="6"/>
      <c r="M24" s="6"/>
      <c r="N24" s="6"/>
      <c r="O24" s="6"/>
      <c r="P24" s="6"/>
      <c r="Q24" s="6"/>
      <c r="R24" s="6"/>
      <c r="S24" s="6"/>
      <c r="T24" s="6"/>
      <c r="U24" s="6"/>
      <c r="V24" s="6"/>
      <c r="W24" s="6"/>
      <c r="X24" s="6"/>
      <c r="Y24" s="6"/>
      <c r="Z24" s="6"/>
    </row>
    <row r="25" spans="1:26" ht="15.75" customHeight="1">
      <c r="A25" s="12" t="s">
        <v>123</v>
      </c>
      <c r="B25" s="14">
        <f>IFERROR(((B18+B19)/(B24-B23)),"0")</f>
        <v>0.919047619047619</v>
      </c>
      <c r="C25" s="14">
        <f>IFERROR(((C18+C19)/(C24)),"0")</f>
        <v>0.967741935483871</v>
      </c>
      <c r="D25" s="14">
        <f>IFERROR(((D18+D19)/(D24)),"0")</f>
        <v>0.93548387096774188</v>
      </c>
      <c r="E25" s="14">
        <f t="shared" ref="E25:K25" si="3">IFERROR(((E18+E19)/(E24)),"0")</f>
        <v>0.67741935483870963</v>
      </c>
      <c r="F25" s="14">
        <f t="shared" si="3"/>
        <v>0.967741935483871</v>
      </c>
      <c r="G25" s="14">
        <f t="shared" si="3"/>
        <v>0.93548387096774188</v>
      </c>
      <c r="H25" s="14">
        <f t="shared" si="3"/>
        <v>0</v>
      </c>
      <c r="I25" s="14">
        <f t="shared" si="3"/>
        <v>0.77419354838709675</v>
      </c>
      <c r="J25" s="14">
        <f t="shared" si="3"/>
        <v>0.967741935483871</v>
      </c>
      <c r="K25" s="14">
        <f t="shared" si="3"/>
        <v>0.967741935483871</v>
      </c>
      <c r="L25" s="7"/>
      <c r="M25" s="7"/>
      <c r="N25" s="7"/>
      <c r="O25" s="7"/>
      <c r="P25" s="7"/>
      <c r="Q25" s="7"/>
      <c r="R25" s="7"/>
      <c r="S25" s="7"/>
      <c r="T25" s="7"/>
      <c r="U25" s="7"/>
      <c r="V25" s="7"/>
      <c r="W25" s="7"/>
      <c r="X25" s="7"/>
      <c r="Y25" s="7"/>
      <c r="Z25" s="7"/>
    </row>
    <row r="26" spans="1:26" ht="15.75" customHeight="1">
      <c r="A26" s="12" t="s">
        <v>115</v>
      </c>
      <c r="B26" s="15" t="str" cm="1">
        <f t="array" ref="B26">IF(B25=0,"N/A",_xlfn.IFS(B25&gt;=0.95,"Outstanding",B25&gt;=0.9,"Very Satisfactory",B25&gt;=0.8,"Satisfactory",B25&gt;=0.6,"Fair",B25&lt;0.6,"Poor"))</f>
        <v>Very Satisfactory</v>
      </c>
      <c r="C26" s="15" t="str" cm="1">
        <f t="array" ref="C26">IF(C25=0,"N/A",_xlfn.IFS(C25&gt;=0.95,"Outstanding",C25&gt;=0.9,"Very Satisfactory",C25&gt;=0.8,"Satisfactory",C25&gt;=0.6,"Fair",C25&lt;0.6,"Poor"))</f>
        <v>Outstanding</v>
      </c>
      <c r="D26" s="15" t="str" cm="1">
        <f t="array" ref="D26">IF(D25=0,"N/A",_xlfn.IFS(D25&gt;=0.95,"Outstanding",D25&gt;=0.9,"Very Satisfactory",D25&gt;=0.8,"Satisfactory",D25&gt;=0.6,"Fair",D25&lt;0.6,"Poor"))</f>
        <v>Very Satisfactory</v>
      </c>
      <c r="E26" s="15" t="str" cm="1">
        <f t="array" ref="E26">IF(E25=0,"N/A",_xlfn.IFS(E25&gt;=0.95,"Outstanding",E25&gt;=0.9,"Very Satisfactory",E25&gt;=0.8,"Satisfactory",E25&gt;=0.6,"Fair",E25&lt;0.6,"Poor"))</f>
        <v>Fair</v>
      </c>
      <c r="F26" s="15" t="str" cm="1">
        <f t="array" ref="F26">IF(F25=0,"N/A",_xlfn.IFS(F25&gt;=0.95,"Outstanding",F25&gt;=0.9,"Very Satisfactory",F25&gt;=0.8,"Satisfactory",F25&gt;=0.6,"Fair",F25&lt;0.6,"Poor"))</f>
        <v>Outstanding</v>
      </c>
      <c r="G26" s="15" t="str" cm="1">
        <f t="array" ref="G26">IF(G25=0,"N/A",_xlfn.IFS(G25&gt;=0.95,"Outstanding",G25&gt;=0.9,"Very Satisfactory",G25&gt;=0.8,"Satisfactory",G25&gt;=0.6,"Fair",G25&lt;0.6,"Poor"))</f>
        <v>Very Satisfactory</v>
      </c>
      <c r="H26" s="15" t="str" cm="1">
        <f t="array" ref="H26">IF(H25=0,"N/A",_xlfn.IFS(H25&gt;=0.95,"Outstanding",H25&gt;=0.9,"Very Satisfactory",H25&gt;=0.8,"Satisfactory",H25&gt;=0.6,"Fair",H25&lt;0.6,"Poor"))</f>
        <v>N/A</v>
      </c>
      <c r="I26" s="15" t="str" cm="1">
        <f t="array" ref="I26">IF(I25=0,"N/A",_xlfn.IFS(I25&gt;=0.95,"Outstanding",I25&gt;=0.9,"Very Satisfactory",I25&gt;=0.8,"Satisfactory",I25&gt;=0.6,"Fair",I25&lt;0.6,"Poor"))</f>
        <v>Fair</v>
      </c>
      <c r="J26" s="15" t="str" cm="1">
        <f t="array" ref="J26">IF(J25=0,"N/A",_xlfn.IFS(J25&gt;=0.95,"Outstanding",J25&gt;=0.9,"Very Satisfactory",J25&gt;=0.8,"Satisfactory",J25&gt;=0.6,"Fair",J25&lt;0.6,"Poor"))</f>
        <v>Outstanding</v>
      </c>
      <c r="K26" s="15" t="str" cm="1">
        <f t="array" ref="K26">IF(K25=0,"N/A",_xlfn.IFS(K25&gt;=0.95,"Outstanding",K25&gt;=0.9,"Very Satisfactory",K25&gt;=0.8,"Satisfactory",K25&gt;=0.6,"Fair",K25&lt;0.6,"Poor"))</f>
        <v>Outstanding</v>
      </c>
      <c r="L26" s="6"/>
      <c r="M26" s="6"/>
      <c r="N26" s="6"/>
      <c r="O26" s="6"/>
      <c r="P26" s="6"/>
      <c r="Q26" s="6"/>
      <c r="R26" s="6"/>
      <c r="S26" s="6"/>
      <c r="T26" s="6"/>
      <c r="U26" s="6"/>
      <c r="V26" s="6"/>
      <c r="W26" s="6"/>
      <c r="X26" s="6"/>
      <c r="Y26" s="6"/>
      <c r="Z26" s="6"/>
    </row>
    <row r="27" spans="1:26" ht="15.75" customHeight="1">
      <c r="D27" s="24"/>
      <c r="J27" s="6"/>
      <c r="K27" s="6"/>
      <c r="L27" s="6"/>
      <c r="M27" s="6"/>
      <c r="N27" s="6"/>
      <c r="O27" s="6"/>
      <c r="P27" s="6"/>
      <c r="Q27" s="6"/>
      <c r="R27" s="6"/>
      <c r="S27" s="6"/>
      <c r="T27" s="6"/>
      <c r="U27" s="6"/>
      <c r="V27" s="6"/>
      <c r="W27" s="6"/>
      <c r="X27" s="6"/>
      <c r="Y27" s="6"/>
      <c r="Z27" s="6"/>
    </row>
    <row r="28" spans="1:26" ht="15.75" customHeight="1">
      <c r="D28" s="24"/>
      <c r="J28" s="6"/>
      <c r="K28" s="6"/>
      <c r="L28" s="6"/>
      <c r="M28" s="6"/>
      <c r="N28" s="6"/>
      <c r="O28" s="6"/>
      <c r="P28" s="6"/>
      <c r="Q28" s="6"/>
      <c r="R28" s="6"/>
      <c r="S28" s="6"/>
      <c r="T28" s="6"/>
      <c r="U28" s="6"/>
      <c r="V28" s="6"/>
      <c r="W28" s="6"/>
      <c r="X28" s="6"/>
      <c r="Y28" s="6"/>
      <c r="Z28" s="6"/>
    </row>
    <row r="29" spans="1:26" ht="15.75" customHeight="1" thickBot="1">
      <c r="D29" s="24"/>
      <c r="J29" s="6"/>
      <c r="K29" s="6"/>
      <c r="L29" s="6"/>
      <c r="M29" s="6"/>
      <c r="N29" s="6"/>
      <c r="O29" s="6"/>
      <c r="P29" s="6"/>
      <c r="Q29" s="6"/>
      <c r="R29" s="6"/>
      <c r="S29" s="6"/>
      <c r="T29" s="6"/>
      <c r="U29" s="6"/>
      <c r="V29" s="6"/>
      <c r="W29" s="6"/>
      <c r="X29" s="6"/>
      <c r="Y29" s="6"/>
      <c r="Z29" s="6"/>
    </row>
    <row r="30" spans="1:26" ht="15.75" customHeight="1" thickBot="1">
      <c r="A30" s="9" t="s">
        <v>116</v>
      </c>
      <c r="B30" s="10" t="s">
        <v>124</v>
      </c>
      <c r="C30" s="10" t="s">
        <v>96</v>
      </c>
      <c r="D30" s="10" t="s">
        <v>97</v>
      </c>
      <c r="E30" s="10" t="s">
        <v>98</v>
      </c>
      <c r="F30" s="10" t="s">
        <v>99</v>
      </c>
      <c r="G30" s="10" t="s">
        <v>100</v>
      </c>
      <c r="H30" s="10" t="s">
        <v>101</v>
      </c>
      <c r="I30" s="10" t="s">
        <v>102</v>
      </c>
      <c r="J30" s="10" t="s">
        <v>103</v>
      </c>
      <c r="K30" s="6"/>
      <c r="L30" s="6"/>
      <c r="M30" s="6"/>
      <c r="N30" s="6"/>
      <c r="O30" s="6"/>
      <c r="P30" s="6"/>
      <c r="Q30" s="6"/>
      <c r="R30" s="6"/>
      <c r="S30" s="6"/>
      <c r="T30" s="6"/>
      <c r="U30" s="6"/>
      <c r="V30" s="6"/>
      <c r="W30" s="6"/>
      <c r="X30" s="6"/>
      <c r="Y30" s="6"/>
      <c r="Z30" s="6"/>
    </row>
    <row r="31" spans="1:26" ht="15.75" customHeight="1">
      <c r="A31" s="6" t="s">
        <v>5</v>
      </c>
      <c r="B31" s="8">
        <f>SUM(C31:J31)</f>
        <v>191</v>
      </c>
      <c r="C31" s="65">
        <f>COUNTIF(Supplemental!$G$9:$G$1048576,"5")</f>
        <v>4</v>
      </c>
      <c r="D31" s="65">
        <f>COUNTIF(Supplemental!$H$9:$H$1048576,"5")</f>
        <v>31</v>
      </c>
      <c r="E31" s="65">
        <f>COUNTIF(Supplemental!$I$9:$I$1048576,"5")</f>
        <v>31</v>
      </c>
      <c r="F31" s="65">
        <f>COUNTIF(Supplemental!$J$9:$J$1048576,"5")</f>
        <v>31</v>
      </c>
      <c r="G31" s="65">
        <f>COUNTIF(Supplemental!$K$9:$K$1048576,"5")</f>
        <v>31</v>
      </c>
      <c r="H31" s="65">
        <f>COUNTIF(Supplemental!$L$9:$L$1048576,"5")</f>
        <v>21</v>
      </c>
      <c r="I31" s="65">
        <f>COUNTIF(Supplemental!$M$9:$M$1048576,"5")</f>
        <v>21</v>
      </c>
      <c r="J31" s="65">
        <f>COUNTIF(Supplemental!$N$9:$N$1048576,"5")</f>
        <v>21</v>
      </c>
      <c r="K31" s="6"/>
      <c r="L31" s="6"/>
      <c r="M31" s="6"/>
      <c r="N31" s="6"/>
      <c r="O31" s="6"/>
      <c r="P31" s="6"/>
      <c r="Q31" s="6"/>
      <c r="R31" s="6"/>
      <c r="S31" s="6"/>
      <c r="T31" s="6"/>
      <c r="U31" s="6"/>
      <c r="V31" s="6"/>
      <c r="W31" s="6"/>
      <c r="X31" s="6"/>
      <c r="Y31" s="6"/>
      <c r="Z31" s="6"/>
    </row>
    <row r="32" spans="1:26" ht="15.75" customHeight="1">
      <c r="A32" s="6" t="s">
        <v>8</v>
      </c>
      <c r="B32" s="8">
        <f t="shared" ref="B32:B36" si="4">SUM(C32:J32)</f>
        <v>52</v>
      </c>
      <c r="C32" s="65">
        <f>COUNTIF(Supplemental!$G$9:$G$1048576,"4")</f>
        <v>22</v>
      </c>
      <c r="D32" s="65">
        <f>COUNTIF(Supplemental!$H$9:$H$1048576,"4")</f>
        <v>0</v>
      </c>
      <c r="E32" s="65">
        <f>COUNTIF(Supplemental!$I$9:$I$1048576,"4")</f>
        <v>0</v>
      </c>
      <c r="F32" s="65">
        <f>COUNTIF(Supplemental!$J$9:$J$1048576,"4")</f>
        <v>0</v>
      </c>
      <c r="G32" s="65">
        <f>COUNTIF(Supplemental!$K$9:$K$1048576,"4")</f>
        <v>0</v>
      </c>
      <c r="H32" s="65">
        <f>COUNTIF(Supplemental!$L$9:$L$1048576,"4")</f>
        <v>10</v>
      </c>
      <c r="I32" s="65">
        <f>COUNTIF(Supplemental!$M$9:$M$1048576,"4")</f>
        <v>10</v>
      </c>
      <c r="J32" s="65">
        <f>COUNTIF(Supplemental!$N$9:$N$1048576,"4")</f>
        <v>10</v>
      </c>
      <c r="K32" s="6"/>
      <c r="L32" s="6"/>
      <c r="M32" s="6"/>
      <c r="N32" s="6"/>
      <c r="O32" s="6"/>
      <c r="P32" s="6"/>
      <c r="Q32" s="6"/>
      <c r="R32" s="6"/>
      <c r="S32" s="6"/>
      <c r="T32" s="6"/>
      <c r="U32" s="6"/>
      <c r="V32" s="6"/>
      <c r="W32" s="6"/>
      <c r="X32" s="6"/>
      <c r="Y32" s="6"/>
      <c r="Z32" s="6"/>
    </row>
    <row r="33" spans="1:26" ht="15.75" customHeight="1">
      <c r="A33" s="6" t="s">
        <v>11</v>
      </c>
      <c r="B33" s="8">
        <f t="shared" si="4"/>
        <v>4</v>
      </c>
      <c r="C33" s="65">
        <f>COUNTIF(Supplemental!$G$9:$G$1048576,"3")</f>
        <v>4</v>
      </c>
      <c r="D33" s="65">
        <f>COUNTIF(Supplemental!$H$9:$H$1048576,"3")</f>
        <v>0</v>
      </c>
      <c r="E33" s="65">
        <f>COUNTIF(Supplemental!$I$9:$I$1048576,"3")</f>
        <v>0</v>
      </c>
      <c r="F33" s="65">
        <f>COUNTIF(Supplemental!$J$9:$J$1048576,"3")</f>
        <v>0</v>
      </c>
      <c r="G33" s="65">
        <f>COUNTIF(Supplemental!$K$9:$K$1048576,"3")</f>
        <v>0</v>
      </c>
      <c r="H33" s="65">
        <f>COUNTIF(Supplemental!$L$9:$L$1048576,"3")</f>
        <v>0</v>
      </c>
      <c r="I33" s="65">
        <f>COUNTIF(Supplemental!$M$9:$M$1048576,"3")</f>
        <v>0</v>
      </c>
      <c r="J33" s="65">
        <f>COUNTIF(Supplemental!$N$9:$N$1048576,"3")</f>
        <v>0</v>
      </c>
      <c r="K33" s="6"/>
      <c r="L33" s="6"/>
      <c r="M33" s="6"/>
      <c r="N33" s="6"/>
      <c r="O33" s="6"/>
      <c r="P33" s="6"/>
      <c r="Q33" s="6"/>
      <c r="R33" s="6"/>
      <c r="S33" s="6"/>
      <c r="T33" s="6"/>
      <c r="U33" s="6"/>
      <c r="V33" s="6"/>
      <c r="W33" s="6"/>
      <c r="X33" s="6"/>
      <c r="Y33" s="6"/>
      <c r="Z33" s="6"/>
    </row>
    <row r="34" spans="1:26" ht="15.75" customHeight="1">
      <c r="A34" s="6" t="s">
        <v>119</v>
      </c>
      <c r="B34" s="8">
        <f t="shared" si="4"/>
        <v>0</v>
      </c>
      <c r="C34" s="65">
        <f>COUNTIF(Supplemental!$G$9:$G$1048576,"2")</f>
        <v>0</v>
      </c>
      <c r="D34" s="65">
        <f>COUNTIF(Supplemental!$H$9:$H$1048576,"2")</f>
        <v>0</v>
      </c>
      <c r="E34" s="65">
        <f>COUNTIF(Supplemental!$I$9:$I$1048576,"2")</f>
        <v>0</v>
      </c>
      <c r="F34" s="65">
        <f>COUNTIF(Supplemental!$J$9:$J$1048576,"2")</f>
        <v>0</v>
      </c>
      <c r="G34" s="65">
        <f>COUNTIF(Supplemental!$K$9:$K$1048576,"2")</f>
        <v>0</v>
      </c>
      <c r="H34" s="65">
        <f>COUNTIF(Supplemental!$L$9:$L$1048576,"2")</f>
        <v>0</v>
      </c>
      <c r="I34" s="65">
        <f>COUNTIF(Supplemental!$M$9:$M$1048576,"2")</f>
        <v>0</v>
      </c>
      <c r="J34" s="65">
        <f>COUNTIF(Supplemental!$N$9:$N$1048576,"2")</f>
        <v>0</v>
      </c>
      <c r="K34" s="6"/>
      <c r="L34" s="6"/>
      <c r="M34" s="6"/>
      <c r="N34" s="6"/>
      <c r="O34" s="6"/>
      <c r="P34" s="6"/>
      <c r="Q34" s="6"/>
      <c r="R34" s="6"/>
      <c r="S34" s="6"/>
      <c r="T34" s="6"/>
      <c r="U34" s="6"/>
      <c r="V34" s="6"/>
      <c r="W34" s="6"/>
      <c r="X34" s="6"/>
      <c r="Y34" s="6"/>
      <c r="Z34" s="6"/>
    </row>
    <row r="35" spans="1:26" ht="15.75" customHeight="1">
      <c r="A35" s="6" t="s">
        <v>120</v>
      </c>
      <c r="B35" s="8">
        <f t="shared" si="4"/>
        <v>0</v>
      </c>
      <c r="C35" s="65">
        <f>COUNTIF(Supplemental!$G$9:$G$1048576,"1")</f>
        <v>0</v>
      </c>
      <c r="D35" s="65">
        <f>COUNTIF(Supplemental!$H$9:$H$1048576,"1")</f>
        <v>0</v>
      </c>
      <c r="E35" s="65">
        <f>COUNTIF(Supplemental!$I$9:$I$1048576,"1")</f>
        <v>0</v>
      </c>
      <c r="F35" s="65">
        <f>COUNTIF(Supplemental!$J$9:$J$1048576,"1")</f>
        <v>0</v>
      </c>
      <c r="G35" s="65">
        <f>COUNTIF(Supplemental!$K$9:$K$1048576,"1")</f>
        <v>0</v>
      </c>
      <c r="H35" s="65">
        <f>COUNTIF(Supplemental!$L$9:$L$1048576,"1")</f>
        <v>0</v>
      </c>
      <c r="I35" s="65">
        <f>COUNTIF(Supplemental!$M$9:$M$1048576,"1")</f>
        <v>0</v>
      </c>
      <c r="J35" s="65">
        <f>COUNTIF(Supplemental!$N$9:$N$1048576,"1")</f>
        <v>0</v>
      </c>
      <c r="K35" s="6"/>
      <c r="L35" s="6"/>
      <c r="M35" s="6"/>
      <c r="N35" s="6"/>
      <c r="O35" s="6"/>
      <c r="P35" s="6"/>
      <c r="Q35" s="6"/>
      <c r="R35" s="6"/>
      <c r="S35" s="6"/>
      <c r="T35" s="6"/>
      <c r="U35" s="6"/>
      <c r="V35" s="6"/>
      <c r="W35" s="6"/>
      <c r="X35" s="6"/>
      <c r="Y35" s="6"/>
      <c r="Z35" s="6"/>
    </row>
    <row r="36" spans="1:26" ht="15.75" customHeight="1">
      <c r="A36" s="6" t="s">
        <v>121</v>
      </c>
      <c r="B36" s="8">
        <f t="shared" si="4"/>
        <v>1</v>
      </c>
      <c r="C36" s="65">
        <f>COUNTIF(Supplemental!$G$9:$G$1048576,"-")</f>
        <v>1</v>
      </c>
      <c r="D36" s="65">
        <f>COUNTIF(Supplemental!$H$9:$H$1048576,"-")</f>
        <v>0</v>
      </c>
      <c r="E36" s="65">
        <f>COUNTIF(Supplemental!$I$9:$I$1048576,"-")</f>
        <v>0</v>
      </c>
      <c r="F36" s="65">
        <f>COUNTIF(Supplemental!$J$9:$J$1048576,"-")</f>
        <v>0</v>
      </c>
      <c r="G36" s="65">
        <f>COUNTIF(Supplemental!$K$9:$K$1048576,"-")</f>
        <v>0</v>
      </c>
      <c r="H36" s="65">
        <f>COUNTIF(Supplemental!$L$9:$L$1048576,"-")</f>
        <v>0</v>
      </c>
      <c r="I36" s="65">
        <f>COUNTIF(Supplemental!$M$9:$M$1048576,"-")</f>
        <v>0</v>
      </c>
      <c r="J36" s="65">
        <f>COUNTIF(Supplemental!$N$9:$N$1048576,"-")</f>
        <v>0</v>
      </c>
      <c r="K36" s="6"/>
      <c r="L36" s="6"/>
      <c r="M36" s="6"/>
      <c r="N36" s="6"/>
      <c r="O36" s="6"/>
      <c r="P36" s="6"/>
      <c r="Q36" s="6"/>
      <c r="R36" s="6"/>
      <c r="S36" s="6"/>
      <c r="T36" s="6"/>
      <c r="U36" s="6"/>
      <c r="V36" s="6"/>
      <c r="W36" s="6"/>
      <c r="X36" s="6"/>
      <c r="Y36" s="6"/>
      <c r="Z36" s="6"/>
    </row>
    <row r="37" spans="1:26" ht="15.75" customHeight="1">
      <c r="A37" s="12" t="s">
        <v>122</v>
      </c>
      <c r="B37" s="13">
        <f t="shared" ref="B37:J37" si="5">SUM(B31:B36)</f>
        <v>248</v>
      </c>
      <c r="C37" s="13">
        <f t="shared" si="5"/>
        <v>31</v>
      </c>
      <c r="D37" s="13">
        <f t="shared" si="5"/>
        <v>31</v>
      </c>
      <c r="E37" s="13">
        <f t="shared" si="5"/>
        <v>31</v>
      </c>
      <c r="F37" s="13">
        <f t="shared" si="5"/>
        <v>31</v>
      </c>
      <c r="G37" s="13">
        <f t="shared" si="5"/>
        <v>31</v>
      </c>
      <c r="H37" s="13">
        <f t="shared" si="5"/>
        <v>31</v>
      </c>
      <c r="I37" s="13">
        <f t="shared" si="5"/>
        <v>31</v>
      </c>
      <c r="J37" s="13">
        <f t="shared" si="5"/>
        <v>31</v>
      </c>
      <c r="K37" s="6"/>
      <c r="L37" s="6"/>
      <c r="M37" s="6"/>
      <c r="N37" s="6"/>
      <c r="O37" s="6"/>
      <c r="P37" s="6"/>
      <c r="Q37" s="6"/>
      <c r="R37" s="6"/>
      <c r="S37" s="6"/>
      <c r="T37" s="6"/>
      <c r="U37" s="6"/>
      <c r="V37" s="6"/>
      <c r="W37" s="6"/>
      <c r="X37" s="6"/>
      <c r="Y37" s="6"/>
      <c r="Z37" s="6"/>
    </row>
    <row r="38" spans="1:26" ht="15.75" customHeight="1">
      <c r="A38" s="12" t="s">
        <v>123</v>
      </c>
      <c r="B38" s="14">
        <f>IFERROR(((B31+B32)/(B37-B36)),"0")</f>
        <v>0.98380566801619429</v>
      </c>
      <c r="C38" s="14">
        <f>IFERROR(((C31+C32)/(C37-C36)),"0")</f>
        <v>0.8666666666666667</v>
      </c>
      <c r="D38" s="14">
        <f t="shared" ref="D38:J38" si="6">IFERROR(((D31+D32)/(D37-D36)),"0")</f>
        <v>1</v>
      </c>
      <c r="E38" s="14">
        <f t="shared" si="6"/>
        <v>1</v>
      </c>
      <c r="F38" s="14">
        <f t="shared" si="6"/>
        <v>1</v>
      </c>
      <c r="G38" s="14">
        <f t="shared" si="6"/>
        <v>1</v>
      </c>
      <c r="H38" s="14">
        <f t="shared" si="6"/>
        <v>1</v>
      </c>
      <c r="I38" s="14">
        <f t="shared" si="6"/>
        <v>1</v>
      </c>
      <c r="J38" s="14">
        <f t="shared" si="6"/>
        <v>1</v>
      </c>
      <c r="K38" s="6"/>
      <c r="L38" s="6"/>
      <c r="M38" s="6"/>
      <c r="N38" s="6"/>
      <c r="O38" s="6"/>
      <c r="P38" s="6"/>
      <c r="Q38" s="6"/>
      <c r="R38" s="6"/>
      <c r="S38" s="6"/>
      <c r="T38" s="6"/>
      <c r="U38" s="6"/>
      <c r="V38" s="6"/>
      <c r="W38" s="6"/>
      <c r="X38" s="6"/>
      <c r="Y38" s="6"/>
      <c r="Z38" s="6"/>
    </row>
    <row r="39" spans="1:26" ht="15.75" customHeight="1">
      <c r="A39" s="12" t="s">
        <v>115</v>
      </c>
      <c r="B39" s="15" t="str" cm="1">
        <f t="array" ref="B39">IF(B38=0,"N/A",_xlfn.IFS(B38&gt;=0.95,"Outstanding",B38&gt;=0.9,"Very Satisfactory",B38&gt;=0.8,"Satisfactory",B38&gt;=0.6,"Fair",B38&lt;0.6,"Poor"))</f>
        <v>Outstanding</v>
      </c>
      <c r="C39" s="15" t="str" cm="1">
        <f t="array" ref="C39">IF(C38=0,"N/A",_xlfn.IFS(C38&gt;=0.95,"Outstanding",C38&gt;=0.9,"Very Satisfactory",C38&gt;=0.8,"Satisfactory",C38&gt;=0.6,"Fair",C38&lt;0.6,"Poor"))</f>
        <v>Satisfactory</v>
      </c>
      <c r="D39" s="15" t="str" cm="1">
        <f t="array" ref="D39">IF(D38=0,"N/A",_xlfn.IFS(D38&gt;=0.95,"Outstanding",D38&gt;=0.9,"Very Satisfactory",D38&gt;=0.8,"Satisfactory",D38&gt;=0.6,"Fair",D38&lt;0.6,"Poor"))</f>
        <v>Outstanding</v>
      </c>
      <c r="E39" s="15" t="str" cm="1">
        <f t="array" ref="E39">IF(E38=0,"N/A",_xlfn.IFS(E38&gt;=0.95,"Outstanding",E38&gt;=0.9,"Very Satisfactory",E38&gt;=0.8,"Satisfactory",E38&gt;=0.6,"Fair",E38&lt;0.6,"Poor"))</f>
        <v>Outstanding</v>
      </c>
      <c r="F39" s="15" t="str" cm="1">
        <f t="array" ref="F39">IF(F38=0,"N/A",_xlfn.IFS(F38&gt;=0.95,"Outstanding",F38&gt;=0.9,"Very Satisfactory",F38&gt;=0.8,"Satisfactory",F38&gt;=0.6,"Fair",F38&lt;0.6,"Poor"))</f>
        <v>Outstanding</v>
      </c>
      <c r="G39" s="15" t="str" cm="1">
        <f t="array" ref="G39">IF(G38=0,"N/A",_xlfn.IFS(G38&gt;=0.95,"Outstanding",G38&gt;=0.9,"Very Satisfactory",G38&gt;=0.8,"Satisfactory",G38&gt;=0.6,"Fair",G38&lt;0.6,"Poor"))</f>
        <v>Outstanding</v>
      </c>
      <c r="H39" s="15" t="str" cm="1">
        <f t="array" ref="H39">IF(H38=0,"N/A",_xlfn.IFS(H38&gt;=0.95,"Outstanding",H38&gt;=0.9,"Very Satisfactory",H38&gt;=0.8,"Satisfactory",H38&gt;=0.6,"Fair",H38&lt;0.6,"Poor"))</f>
        <v>Outstanding</v>
      </c>
      <c r="I39" s="15" t="str" cm="1">
        <f t="array" ref="I39">IF(I38=0,"N/A",_xlfn.IFS(I38&gt;=0.95,"Outstanding",I38&gt;=0.9,"Very Satisfactory",I38&gt;=0.8,"Satisfactory",I38&gt;=0.6,"Fair",I38&lt;0.6,"Poor"))</f>
        <v>Outstanding</v>
      </c>
      <c r="J39" s="15" t="str" cm="1">
        <f t="array" ref="J39">IF(J38=0,"N/A",_xlfn.IFS(J38&gt;=0.95,"Outstanding",J38&gt;=0.9,"Very Satisfactory",J38&gt;=0.8,"Satisfactory",J38&gt;=0.6,"Fair",J38&lt;0.6,"Poor"))</f>
        <v>Outstanding</v>
      </c>
      <c r="K39" s="6"/>
      <c r="L39" s="6"/>
      <c r="M39" s="6"/>
      <c r="N39" s="6"/>
      <c r="O39" s="6"/>
      <c r="P39" s="6"/>
      <c r="Q39" s="6"/>
      <c r="R39" s="6"/>
      <c r="S39" s="6"/>
      <c r="T39" s="6"/>
      <c r="U39" s="6"/>
      <c r="V39" s="6"/>
      <c r="W39" s="6"/>
      <c r="X39" s="6"/>
      <c r="Y39" s="6"/>
      <c r="Z39" s="6"/>
    </row>
    <row r="40" spans="1:26" ht="15.75" customHeight="1">
      <c r="K40" s="6"/>
      <c r="L40" s="6"/>
      <c r="M40" s="6"/>
      <c r="N40" s="6"/>
      <c r="O40" s="6"/>
      <c r="P40" s="6"/>
      <c r="Q40" s="6"/>
      <c r="R40" s="6"/>
      <c r="S40" s="6"/>
      <c r="T40" s="6"/>
      <c r="U40" s="6"/>
      <c r="V40" s="6"/>
      <c r="W40" s="6"/>
      <c r="X40" s="6"/>
      <c r="Y40" s="6"/>
      <c r="Z40" s="6"/>
    </row>
    <row r="41" spans="1:26" ht="15.75" customHeight="1">
      <c r="D41" s="24"/>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31.15" customHeight="1">
      <c r="A43" s="38" t="s">
        <v>1</v>
      </c>
      <c r="B43" s="39" t="s">
        <v>125</v>
      </c>
      <c r="C43" s="40" t="s">
        <v>126</v>
      </c>
      <c r="D43" s="6"/>
      <c r="E43" s="16" t="s">
        <v>127</v>
      </c>
      <c r="F43" s="17" t="s">
        <v>128</v>
      </c>
      <c r="G43" s="18" t="s">
        <v>129</v>
      </c>
      <c r="H43" s="6"/>
      <c r="I43" s="63" t="s">
        <v>116</v>
      </c>
      <c r="J43" s="64" t="s">
        <v>129</v>
      </c>
      <c r="K43" s="127" t="s">
        <v>130</v>
      </c>
      <c r="L43" s="6"/>
      <c r="M43" s="6"/>
      <c r="N43" s="6"/>
      <c r="O43" s="6"/>
      <c r="P43" s="6"/>
      <c r="Q43" s="6"/>
      <c r="R43" s="6"/>
      <c r="S43" s="6"/>
      <c r="T43" s="6"/>
      <c r="U43" s="6"/>
      <c r="V43" s="6"/>
      <c r="W43" s="6"/>
      <c r="X43" s="6"/>
      <c r="Y43" s="6"/>
      <c r="Z43" s="6"/>
    </row>
    <row r="44" spans="1:26" ht="31.15">
      <c r="A44" s="59" t="s">
        <v>131</v>
      </c>
      <c r="B44" s="5">
        <f>COUNTIF(Tabulation_Frontline[CC1],"1")</f>
        <v>30</v>
      </c>
      <c r="C44" s="157">
        <f>IFERROR(B44/B49, "-")</f>
        <v>0.967741935483871</v>
      </c>
      <c r="D44" s="6"/>
      <c r="E44" s="19" t="s">
        <v>132</v>
      </c>
      <c r="F44" s="65">
        <f>COUNTIF('Tabulation Sheet'!$E$9:$E$1048576,"M")</f>
        <v>17</v>
      </c>
      <c r="G44" s="20">
        <f>F44/F47</f>
        <v>0.54838709677419351</v>
      </c>
      <c r="H44" s="6"/>
      <c r="I44" s="158" t="s">
        <v>5</v>
      </c>
      <c r="J44" s="159">
        <f>B18/(B24-B23)</f>
        <v>0.55238095238095242</v>
      </c>
      <c r="K44" s="128">
        <f>SUM(J44:J48)</f>
        <v>1</v>
      </c>
      <c r="L44" s="6"/>
      <c r="M44" s="6"/>
      <c r="N44" s="6"/>
      <c r="O44" s="6"/>
      <c r="P44" s="6"/>
      <c r="Q44" s="6"/>
      <c r="R44" s="6"/>
      <c r="S44" s="6"/>
      <c r="T44" s="6"/>
      <c r="U44" s="6"/>
      <c r="V44" s="6"/>
      <c r="W44" s="6"/>
      <c r="X44" s="6"/>
      <c r="Y44" s="6"/>
      <c r="Z44" s="6"/>
    </row>
    <row r="45" spans="1:26" ht="31.15">
      <c r="A45" s="60" t="s">
        <v>133</v>
      </c>
      <c r="B45" s="160">
        <f>COUNTIF(Tabulation_Frontline[CC1],"2")</f>
        <v>0</v>
      </c>
      <c r="C45" s="161">
        <f>B45/B49</f>
        <v>0</v>
      </c>
      <c r="D45" s="6"/>
      <c r="E45" s="19" t="s">
        <v>134</v>
      </c>
      <c r="F45" s="65">
        <f>COUNTIF('Tabulation Sheet'!$E$9:$E$1048576,"F")</f>
        <v>13</v>
      </c>
      <c r="G45" s="20">
        <f>F45/F47</f>
        <v>0.41935483870967744</v>
      </c>
      <c r="H45" s="6"/>
      <c r="I45" s="158" t="s">
        <v>8</v>
      </c>
      <c r="J45" s="159">
        <f>B19/(B24-B23)</f>
        <v>0.36666666666666664</v>
      </c>
      <c r="K45" s="6"/>
      <c r="L45" s="6"/>
      <c r="M45" s="6"/>
      <c r="N45" s="6"/>
      <c r="O45" s="6"/>
      <c r="P45" s="6"/>
      <c r="Q45" s="6"/>
      <c r="R45" s="6"/>
      <c r="S45" s="6"/>
      <c r="T45" s="6"/>
      <c r="U45" s="6"/>
      <c r="V45" s="6"/>
      <c r="W45" s="6"/>
      <c r="X45" s="6"/>
      <c r="Y45" s="6"/>
      <c r="Z45" s="6"/>
    </row>
    <row r="46" spans="1:26" ht="40.15" customHeight="1">
      <c r="A46" s="59" t="s">
        <v>135</v>
      </c>
      <c r="B46" s="5">
        <f>COUNTIF(Tabulation_Frontline[CC1],"3")</f>
        <v>0</v>
      </c>
      <c r="C46" s="157">
        <f>B46/B49</f>
        <v>0</v>
      </c>
      <c r="D46" s="6"/>
      <c r="E46" s="19" t="s">
        <v>76</v>
      </c>
      <c r="F46" s="65">
        <f>COUNTIF('Tabulation Sheet'!$E$9:$E$1048576,"Did not specify")</f>
        <v>1</v>
      </c>
      <c r="G46" s="20">
        <f>F46/F47</f>
        <v>3.2258064516129031E-2</v>
      </c>
      <c r="H46" s="6"/>
      <c r="I46" s="158" t="s">
        <v>11</v>
      </c>
      <c r="J46" s="159">
        <f>B20/(B24-B23)</f>
        <v>7.6190476190476197E-2</v>
      </c>
      <c r="K46" s="6"/>
      <c r="L46" s="6"/>
      <c r="M46" s="6"/>
      <c r="N46" s="6"/>
      <c r="O46" s="6"/>
      <c r="P46" s="6"/>
      <c r="Q46" s="6"/>
      <c r="R46" s="6"/>
      <c r="S46" s="6"/>
      <c r="T46" s="6"/>
      <c r="U46" s="6"/>
      <c r="V46" s="6"/>
      <c r="W46" s="6"/>
      <c r="X46" s="6"/>
      <c r="Y46" s="6"/>
      <c r="Z46" s="6"/>
    </row>
    <row r="47" spans="1:26" ht="39.6" customHeight="1">
      <c r="A47" s="60" t="s">
        <v>136</v>
      </c>
      <c r="B47" s="160">
        <f>COUNTIF(Tabulation_Frontline[CC1],"4")</f>
        <v>0</v>
      </c>
      <c r="C47" s="161">
        <f>B47/B49</f>
        <v>0</v>
      </c>
      <c r="D47" s="6"/>
      <c r="E47" s="21" t="s">
        <v>122</v>
      </c>
      <c r="F47" s="22">
        <f>SUM(F44:F46)</f>
        <v>31</v>
      </c>
      <c r="G47" s="23">
        <f>SUM(G44:G46)</f>
        <v>1</v>
      </c>
      <c r="H47" s="6"/>
      <c r="I47" s="158" t="s">
        <v>119</v>
      </c>
      <c r="J47" s="159">
        <f>B21/(B24-B23)</f>
        <v>4.7619047619047623E-3</v>
      </c>
      <c r="L47" s="6"/>
      <c r="M47" s="6"/>
      <c r="N47" s="6"/>
      <c r="O47" s="6"/>
      <c r="P47" s="6"/>
      <c r="Q47" s="6"/>
      <c r="R47" s="6"/>
      <c r="S47" s="6"/>
      <c r="T47" s="6"/>
      <c r="U47" s="6"/>
      <c r="V47" s="6"/>
      <c r="W47" s="6"/>
      <c r="X47" s="6"/>
      <c r="Y47" s="6"/>
      <c r="Z47" s="6"/>
    </row>
    <row r="48" spans="1:26" ht="34.5" customHeight="1">
      <c r="A48" s="61" t="s">
        <v>137</v>
      </c>
      <c r="B48" s="160">
        <f>COUNTIF(Tabulation_Frontline[CC1],"-")</f>
        <v>1</v>
      </c>
      <c r="C48" s="162">
        <f>B48/B49</f>
        <v>3.2258064516129031E-2</v>
      </c>
      <c r="D48" s="6"/>
      <c r="E48" s="32"/>
      <c r="F48" s="32"/>
      <c r="G48" s="33"/>
      <c r="H48" s="6"/>
      <c r="I48" s="158" t="s">
        <v>120</v>
      </c>
      <c r="J48" s="159">
        <f>B22/(B24-B23)</f>
        <v>0</v>
      </c>
      <c r="L48" s="6"/>
      <c r="M48" s="6"/>
      <c r="N48" s="6"/>
      <c r="O48" s="6"/>
      <c r="P48" s="6"/>
      <c r="Q48" s="6"/>
      <c r="R48" s="6"/>
      <c r="S48" s="6"/>
      <c r="T48" s="6"/>
      <c r="U48" s="6"/>
      <c r="V48" s="6"/>
      <c r="W48" s="6"/>
      <c r="X48" s="6"/>
      <c r="Y48" s="6"/>
      <c r="Z48" s="6"/>
    </row>
    <row r="49" spans="1:26" ht="27.75" customHeight="1">
      <c r="A49" s="163" t="s">
        <v>109</v>
      </c>
      <c r="B49" s="164">
        <f>SUM(B44:B48)</f>
        <v>31</v>
      </c>
      <c r="C49" s="165">
        <f>SUM(C44:C48)</f>
        <v>1</v>
      </c>
      <c r="D49" s="6"/>
      <c r="E49" s="32"/>
      <c r="F49" s="32"/>
      <c r="G49" s="33"/>
      <c r="H49" s="6"/>
      <c r="I49" s="131" t="s">
        <v>113</v>
      </c>
      <c r="J49" s="133">
        <f>J44+J45</f>
        <v>0.91904761904761911</v>
      </c>
      <c r="L49" s="6"/>
      <c r="M49" s="6"/>
      <c r="N49" s="6"/>
      <c r="O49" s="6"/>
      <c r="P49" s="6"/>
      <c r="Q49" s="6"/>
      <c r="R49" s="6"/>
      <c r="S49" s="6"/>
      <c r="T49" s="6"/>
      <c r="U49" s="6"/>
      <c r="V49" s="6"/>
      <c r="W49" s="6"/>
      <c r="X49" s="6"/>
      <c r="Y49" s="6"/>
      <c r="Z49" s="6"/>
    </row>
    <row r="50" spans="1:26" ht="30.75" customHeight="1">
      <c r="D50" s="6"/>
      <c r="E50" s="6"/>
      <c r="F50" s="6"/>
      <c r="G50" s="6"/>
      <c r="H50" s="6"/>
      <c r="I50" s="134" t="s">
        <v>115</v>
      </c>
      <c r="J50" s="132" t="str" cm="1">
        <f t="array" ref="J50">IF(J49=0,"N/A",_xlfn.IFS(J49&gt;=0.95,"Outstanding",J49&gt;=0.9,"Very Satisfactory",J49&gt;=0.8,"Satisfactory",J49&gt;=0.6,"Fair",J49&lt;0.6,"Poor"))</f>
        <v>Very Satisfactory</v>
      </c>
      <c r="L50" s="6"/>
      <c r="M50" s="6"/>
      <c r="N50" s="6"/>
      <c r="O50" s="6"/>
      <c r="P50" s="6"/>
      <c r="Q50" s="6"/>
      <c r="R50" s="6"/>
      <c r="S50" s="6"/>
      <c r="T50" s="6"/>
      <c r="U50" s="6"/>
      <c r="V50" s="6"/>
      <c r="W50" s="6"/>
      <c r="X50" s="6"/>
      <c r="Y50" s="6"/>
      <c r="Z50" s="6"/>
    </row>
    <row r="51" spans="1:26" ht="30.75" customHeight="1">
      <c r="A51" s="41"/>
      <c r="B51" s="42"/>
      <c r="C51" s="42"/>
      <c r="D51" s="6"/>
      <c r="H51" s="6"/>
      <c r="L51" s="6"/>
      <c r="M51" s="6"/>
      <c r="N51" s="6"/>
      <c r="O51" s="6"/>
      <c r="P51" s="6"/>
      <c r="Q51" s="6"/>
      <c r="R51" s="6"/>
      <c r="S51" s="6"/>
      <c r="T51" s="6"/>
      <c r="U51" s="6"/>
      <c r="V51" s="6"/>
      <c r="W51" s="6"/>
      <c r="X51" s="6"/>
      <c r="Y51" s="6"/>
      <c r="Z51" s="6"/>
    </row>
    <row r="52" spans="1:26" ht="15.75" customHeight="1">
      <c r="A52" s="38" t="s">
        <v>138</v>
      </c>
      <c r="B52" s="39" t="s">
        <v>125</v>
      </c>
      <c r="C52" s="40" t="s">
        <v>126</v>
      </c>
      <c r="D52" s="6"/>
      <c r="E52" s="16" t="s">
        <v>139</v>
      </c>
      <c r="F52" s="17" t="s">
        <v>128</v>
      </c>
      <c r="G52" s="18" t="s">
        <v>129</v>
      </c>
      <c r="I52" s="149"/>
      <c r="J52" s="149"/>
      <c r="L52" s="6"/>
      <c r="M52" s="6"/>
      <c r="N52" s="6"/>
      <c r="O52" s="6"/>
      <c r="P52" s="6"/>
      <c r="Q52" s="6"/>
      <c r="R52" s="6"/>
      <c r="S52" s="6"/>
      <c r="T52" s="6"/>
      <c r="U52" s="6"/>
      <c r="V52" s="6"/>
      <c r="W52" s="6"/>
      <c r="X52" s="6"/>
      <c r="Y52" s="6"/>
      <c r="Z52" s="6"/>
    </row>
    <row r="53" spans="1:26" ht="15.75" customHeight="1">
      <c r="A53" s="166" t="s">
        <v>140</v>
      </c>
      <c r="B53" s="5">
        <f>COUNTIF(Tabulation_Frontline[CC2],"1")</f>
        <v>29</v>
      </c>
      <c r="C53" s="157">
        <f>B53/B59</f>
        <v>0.93548387096774188</v>
      </c>
      <c r="D53" s="24"/>
      <c r="E53" s="19" t="s">
        <v>60</v>
      </c>
      <c r="F53" s="65">
        <f>COUNTIF(Tabulation_Frontline[Age Group],E53)</f>
        <v>2</v>
      </c>
      <c r="G53" s="20">
        <f>F53/F59</f>
        <v>6.4516129032258063E-2</v>
      </c>
      <c r="I53" s="110"/>
      <c r="J53" s="110"/>
      <c r="L53" s="6"/>
      <c r="M53" s="6"/>
      <c r="N53" s="6"/>
      <c r="O53" s="6"/>
      <c r="P53" s="6"/>
      <c r="Q53" s="6"/>
      <c r="R53" s="6"/>
      <c r="S53" s="6"/>
      <c r="T53" s="6"/>
      <c r="U53" s="6"/>
      <c r="V53" s="6"/>
      <c r="W53" s="6"/>
      <c r="X53" s="6"/>
      <c r="Y53" s="6"/>
      <c r="Z53" s="6"/>
    </row>
    <row r="54" spans="1:26" ht="15.75" customHeight="1">
      <c r="A54" s="167" t="s">
        <v>141</v>
      </c>
      <c r="B54" s="160">
        <f>COUNTIF(Tabulation_Frontline[CC2],"2")</f>
        <v>0</v>
      </c>
      <c r="C54" s="161">
        <f>B54/B59</f>
        <v>0</v>
      </c>
      <c r="D54" s="24"/>
      <c r="E54" s="19" t="s">
        <v>56</v>
      </c>
      <c r="F54" s="65">
        <f>COUNTIF(Tabulation_Frontline[Age Group],E54)</f>
        <v>13</v>
      </c>
      <c r="G54" s="20">
        <f>F54/F59</f>
        <v>0.41935483870967744</v>
      </c>
      <c r="I54" s="168"/>
      <c r="J54" s="65"/>
      <c r="L54" s="6"/>
      <c r="M54" s="6"/>
      <c r="N54" s="6"/>
      <c r="O54" s="6"/>
      <c r="P54" s="6"/>
      <c r="Q54" s="6"/>
      <c r="R54" s="6"/>
      <c r="S54" s="6"/>
      <c r="T54" s="6"/>
      <c r="U54" s="6"/>
      <c r="V54" s="6"/>
      <c r="W54" s="6"/>
      <c r="X54" s="6"/>
      <c r="Y54" s="6"/>
      <c r="Z54" s="6"/>
    </row>
    <row r="55" spans="1:26" ht="15.75" customHeight="1">
      <c r="A55" s="166" t="s">
        <v>142</v>
      </c>
      <c r="B55" s="5">
        <f>COUNTIF(Tabulation_Frontline[CC2],"3")</f>
        <v>1</v>
      </c>
      <c r="C55" s="157">
        <f>B55/B59</f>
        <v>3.2258064516129031E-2</v>
      </c>
      <c r="D55" s="24"/>
      <c r="E55" s="25" t="s">
        <v>70</v>
      </c>
      <c r="F55" s="65">
        <f>COUNTIF(Tabulation_Frontline[Age Group],E55)</f>
        <v>9</v>
      </c>
      <c r="G55" s="26">
        <f>F55/F59</f>
        <v>0.29032258064516131</v>
      </c>
      <c r="I55" s="168"/>
      <c r="J55" s="65"/>
      <c r="L55" s="6"/>
      <c r="M55" s="6"/>
      <c r="N55" s="6"/>
      <c r="O55" s="6"/>
      <c r="P55" s="6"/>
      <c r="Q55" s="6"/>
      <c r="R55" s="6"/>
      <c r="S55" s="6"/>
      <c r="T55" s="6"/>
      <c r="U55" s="6"/>
      <c r="V55" s="6"/>
      <c r="W55" s="6"/>
      <c r="X55" s="6"/>
      <c r="Y55" s="6"/>
      <c r="Z55" s="6"/>
    </row>
    <row r="56" spans="1:26" ht="15.75" customHeight="1">
      <c r="A56" s="167" t="s">
        <v>143</v>
      </c>
      <c r="B56" s="160">
        <f>COUNTIF(Tabulation_Frontline[CC2],"4")</f>
        <v>0</v>
      </c>
      <c r="C56" s="161">
        <f>B56/B59</f>
        <v>0</v>
      </c>
      <c r="D56" s="24"/>
      <c r="E56" s="25" t="s">
        <v>64</v>
      </c>
      <c r="F56" s="65">
        <f>COUNTIF(Tabulation_Frontline[Age Group],E56)</f>
        <v>6</v>
      </c>
      <c r="G56" s="26">
        <f>F56/F59</f>
        <v>0.19354838709677419</v>
      </c>
      <c r="I56" s="168"/>
      <c r="J56" s="65"/>
      <c r="K56" s="6"/>
      <c r="L56" s="6"/>
      <c r="M56" s="6"/>
      <c r="N56" s="6"/>
      <c r="O56" s="6"/>
      <c r="P56" s="6"/>
      <c r="Q56" s="6"/>
      <c r="R56" s="6"/>
      <c r="S56" s="6"/>
      <c r="T56" s="6"/>
      <c r="U56" s="6"/>
      <c r="V56" s="6"/>
      <c r="W56" s="6"/>
      <c r="X56" s="6"/>
      <c r="Y56" s="6"/>
      <c r="Z56" s="6"/>
    </row>
    <row r="57" spans="1:26" ht="15.75" customHeight="1">
      <c r="A57" s="166" t="s">
        <v>144</v>
      </c>
      <c r="B57" s="5">
        <f>COUNTIF(Tabulation_Frontline[CC2],"5")</f>
        <v>0</v>
      </c>
      <c r="C57" s="157">
        <f>B57/B59</f>
        <v>0</v>
      </c>
      <c r="D57" s="24"/>
      <c r="E57" s="25" t="s">
        <v>145</v>
      </c>
      <c r="F57" s="65">
        <f>COUNTIF(Tabulation_Frontline[Age Group],E57)</f>
        <v>0</v>
      </c>
      <c r="G57" s="26">
        <f>F57/F59</f>
        <v>0</v>
      </c>
      <c r="I57" s="168"/>
      <c r="J57" s="65"/>
      <c r="K57" s="6"/>
      <c r="L57" s="6"/>
      <c r="M57" s="6"/>
      <c r="N57" s="6"/>
      <c r="O57" s="6"/>
      <c r="P57" s="6"/>
      <c r="Q57" s="6"/>
      <c r="R57" s="6"/>
      <c r="S57" s="6"/>
      <c r="T57" s="6"/>
      <c r="U57" s="6"/>
      <c r="V57" s="6"/>
      <c r="W57" s="6"/>
      <c r="X57" s="6"/>
      <c r="Y57" s="6"/>
      <c r="Z57" s="6"/>
    </row>
    <row r="58" spans="1:26" ht="15.75" customHeight="1">
      <c r="A58" s="61" t="s">
        <v>137</v>
      </c>
      <c r="B58" s="5">
        <f>COUNTIF(Tabulation_Frontline[CC2],"-")</f>
        <v>1</v>
      </c>
      <c r="C58" s="162">
        <f>B58/B59</f>
        <v>3.2258064516129031E-2</v>
      </c>
      <c r="D58" s="24"/>
      <c r="E58" s="25" t="s">
        <v>76</v>
      </c>
      <c r="F58" s="65">
        <f>COUNTIF(Tabulation_Frontline[Age Group],E58)</f>
        <v>1</v>
      </c>
      <c r="G58" s="26">
        <f>F58/F59</f>
        <v>3.2258064516129031E-2</v>
      </c>
      <c r="I58" s="168"/>
      <c r="J58" s="65"/>
      <c r="K58" s="6"/>
      <c r="L58" s="6"/>
      <c r="M58" s="6"/>
      <c r="N58" s="6"/>
      <c r="O58" s="6"/>
      <c r="P58" s="6"/>
      <c r="Q58" s="6"/>
      <c r="R58" s="6"/>
      <c r="S58" s="6"/>
      <c r="T58" s="6"/>
      <c r="U58" s="6"/>
      <c r="V58" s="6"/>
      <c r="W58" s="6"/>
      <c r="X58" s="6"/>
      <c r="Y58" s="6"/>
      <c r="Z58" s="6"/>
    </row>
    <row r="59" spans="1:26" ht="15.75" customHeight="1">
      <c r="A59" s="90" t="s">
        <v>109</v>
      </c>
      <c r="B59" s="91">
        <f>SUM(B53:B58)</f>
        <v>31</v>
      </c>
      <c r="C59" s="92">
        <f>SUM(C53:C58)</f>
        <v>0.99999999999999989</v>
      </c>
      <c r="D59" s="24"/>
      <c r="E59" s="27" t="s">
        <v>122</v>
      </c>
      <c r="F59" s="28">
        <f>SUM(F53:F58)</f>
        <v>31</v>
      </c>
      <c r="G59" s="29">
        <f>SUM(G53:G58)</f>
        <v>1</v>
      </c>
      <c r="I59" s="43"/>
      <c r="J59" s="65"/>
      <c r="K59" s="6"/>
      <c r="L59" s="6"/>
      <c r="M59" s="6"/>
      <c r="N59" s="6"/>
      <c r="O59" s="6"/>
      <c r="P59" s="6"/>
      <c r="Q59" s="6"/>
      <c r="R59" s="6"/>
      <c r="S59" s="6"/>
      <c r="T59" s="6"/>
      <c r="U59" s="6"/>
      <c r="V59" s="6"/>
      <c r="W59" s="6"/>
      <c r="X59" s="6"/>
      <c r="Y59" s="6"/>
      <c r="Z59" s="6"/>
    </row>
    <row r="60" spans="1:26" ht="15.75" customHeight="1">
      <c r="A60" s="62"/>
      <c r="B60" s="169"/>
      <c r="C60" s="170"/>
      <c r="D60" s="24"/>
      <c r="I60" s="171"/>
      <c r="J60" s="172"/>
      <c r="K60" s="6"/>
      <c r="L60" s="6"/>
      <c r="M60" s="6"/>
      <c r="N60" s="6"/>
      <c r="O60" s="6"/>
      <c r="P60" s="6"/>
      <c r="Q60" s="6"/>
      <c r="R60" s="6"/>
      <c r="S60" s="6"/>
      <c r="T60" s="6"/>
      <c r="U60" s="6"/>
      <c r="V60" s="6"/>
      <c r="W60" s="6"/>
      <c r="X60" s="6"/>
      <c r="Y60" s="6"/>
      <c r="Z60" s="6"/>
    </row>
    <row r="61" spans="1:26" ht="15.75" customHeight="1">
      <c r="A61" s="41"/>
      <c r="B61" s="42"/>
      <c r="C61" s="42"/>
      <c r="D61" s="24"/>
      <c r="I61" s="7"/>
      <c r="J61" s="33"/>
      <c r="K61" s="6"/>
      <c r="L61" s="6"/>
      <c r="M61" s="6"/>
      <c r="N61" s="6"/>
      <c r="O61" s="6"/>
      <c r="P61" s="6"/>
      <c r="Q61" s="6"/>
      <c r="R61" s="6"/>
      <c r="S61" s="6"/>
      <c r="T61" s="6"/>
      <c r="U61" s="6"/>
      <c r="V61" s="6"/>
      <c r="W61" s="6"/>
      <c r="X61" s="6"/>
      <c r="Y61" s="6"/>
      <c r="Z61" s="6"/>
    </row>
    <row r="62" spans="1:26" ht="15.75" customHeight="1" thickBot="1">
      <c r="A62" s="38" t="s">
        <v>146</v>
      </c>
      <c r="B62" s="39" t="s">
        <v>125</v>
      </c>
      <c r="C62" s="40" t="s">
        <v>126</v>
      </c>
      <c r="D62" s="24"/>
      <c r="E62" s="77" t="s">
        <v>42</v>
      </c>
      <c r="F62" s="78" t="s">
        <v>128</v>
      </c>
      <c r="G62" s="79" t="s">
        <v>129</v>
      </c>
      <c r="I62" s="7"/>
      <c r="J62" s="32"/>
      <c r="K62" s="6"/>
      <c r="L62" s="6"/>
      <c r="M62" s="6"/>
      <c r="N62" s="6"/>
      <c r="O62" s="6"/>
      <c r="P62" s="6"/>
      <c r="Q62" s="6"/>
      <c r="R62" s="6"/>
      <c r="S62" s="6"/>
      <c r="T62" s="6"/>
      <c r="U62" s="6"/>
      <c r="V62" s="6"/>
      <c r="W62" s="6"/>
      <c r="X62" s="6"/>
      <c r="Y62" s="6"/>
      <c r="Z62" s="6"/>
    </row>
    <row r="63" spans="1:26" ht="15.75" customHeight="1">
      <c r="A63" s="166" t="s">
        <v>147</v>
      </c>
      <c r="B63" s="173">
        <f>COUNTIF(Tabulation_Frontline[CC3],"1")</f>
        <v>30</v>
      </c>
      <c r="C63" s="157">
        <f>B63/B67</f>
        <v>0.967741935483871</v>
      </c>
      <c r="D63" s="24"/>
      <c r="E63" s="80" t="s">
        <v>58</v>
      </c>
      <c r="F63" s="65">
        <f>COUNTIF(Tabulation_Frontline[Client Type],"Citizen")</f>
        <v>6</v>
      </c>
      <c r="G63" s="81">
        <f>F63/F67</f>
        <v>0.19354838709677419</v>
      </c>
      <c r="K63" s="6"/>
      <c r="L63" s="6"/>
      <c r="M63" s="6"/>
      <c r="N63" s="6"/>
      <c r="O63" s="6"/>
      <c r="P63" s="6"/>
      <c r="Q63" s="6"/>
      <c r="R63" s="6"/>
      <c r="S63" s="6"/>
      <c r="T63" s="6"/>
      <c r="U63" s="6"/>
      <c r="V63" s="6"/>
      <c r="W63" s="6"/>
      <c r="X63" s="6"/>
      <c r="Y63" s="6"/>
      <c r="Z63" s="6"/>
    </row>
    <row r="64" spans="1:26" ht="21" customHeight="1">
      <c r="A64" s="167" t="s">
        <v>148</v>
      </c>
      <c r="B64" s="174">
        <f>COUNTIF(Tabulation_Frontline[CC3],"2")</f>
        <v>0</v>
      </c>
      <c r="C64" s="161">
        <f>B64/B67</f>
        <v>0</v>
      </c>
      <c r="D64" s="24"/>
      <c r="E64" s="82" t="s">
        <v>62</v>
      </c>
      <c r="F64" s="65">
        <f>COUNTIF(Tabulation_Frontline[Client Type],"Business")</f>
        <v>18</v>
      </c>
      <c r="G64" s="83">
        <f>F64/F67</f>
        <v>0.58064516129032262</v>
      </c>
      <c r="K64" s="6"/>
      <c r="L64" s="6"/>
      <c r="M64" s="6"/>
      <c r="N64" s="6"/>
      <c r="O64" s="6"/>
      <c r="P64" s="6"/>
      <c r="Q64" s="6"/>
      <c r="R64" s="6"/>
      <c r="S64" s="6"/>
      <c r="T64" s="6"/>
      <c r="U64" s="6"/>
      <c r="V64" s="6"/>
      <c r="W64" s="6"/>
      <c r="X64" s="6"/>
      <c r="Y64" s="6"/>
      <c r="Z64" s="6"/>
    </row>
    <row r="65" spans="1:26" ht="13.9" customHeight="1">
      <c r="A65" s="166" t="s">
        <v>149</v>
      </c>
      <c r="B65" s="173">
        <f>COUNTIF(Tabulation_Frontline[CC3],"3")</f>
        <v>0</v>
      </c>
      <c r="C65" s="157">
        <f>B65/B67</f>
        <v>0</v>
      </c>
      <c r="D65" s="24"/>
      <c r="E65" s="82" t="s">
        <v>72</v>
      </c>
      <c r="F65" s="65">
        <f>COUNTIF(Tabulation_Frontline[Client Type],"Government")</f>
        <v>6</v>
      </c>
      <c r="G65" s="83">
        <f>F65/F67</f>
        <v>0.19354838709677419</v>
      </c>
      <c r="K65" s="6"/>
      <c r="L65" s="6"/>
      <c r="M65" s="6"/>
      <c r="N65" s="6"/>
      <c r="O65" s="6"/>
      <c r="P65" s="6"/>
      <c r="Q65" s="6"/>
      <c r="R65" s="6"/>
      <c r="S65" s="6"/>
      <c r="T65" s="6"/>
      <c r="U65" s="6"/>
      <c r="V65" s="6"/>
      <c r="W65" s="6"/>
      <c r="X65" s="6"/>
      <c r="Y65" s="6"/>
      <c r="Z65" s="6"/>
    </row>
    <row r="66" spans="1:26" ht="16.149999999999999" customHeight="1">
      <c r="A66" s="61" t="s">
        <v>137</v>
      </c>
      <c r="B66" s="174">
        <f>COUNTIF(Tabulation_Frontline[CC3],"-")</f>
        <v>1</v>
      </c>
      <c r="C66" s="161">
        <f>B66/B67</f>
        <v>3.2258064516129031E-2</v>
      </c>
      <c r="D66" s="24"/>
      <c r="E66" s="87" t="s">
        <v>76</v>
      </c>
      <c r="F66" s="88">
        <f>COUNTIF(Tabulation_Frontline[Client Type],"Did not specify")</f>
        <v>1</v>
      </c>
      <c r="G66" s="89">
        <f>F66/F67</f>
        <v>3.2258064516129031E-2</v>
      </c>
      <c r="H66" s="6"/>
      <c r="K66" s="6"/>
      <c r="L66" s="6"/>
      <c r="M66" s="6"/>
      <c r="N66" s="6"/>
      <c r="O66" s="6"/>
      <c r="P66" s="6"/>
      <c r="Q66" s="6"/>
      <c r="R66" s="6"/>
      <c r="S66" s="6"/>
      <c r="T66" s="6"/>
      <c r="U66" s="6"/>
      <c r="V66" s="6"/>
      <c r="W66" s="6"/>
      <c r="X66" s="6"/>
      <c r="Y66" s="6"/>
      <c r="Z66" s="6"/>
    </row>
    <row r="67" spans="1:26" ht="16.149999999999999" customHeight="1">
      <c r="A67" s="175" t="s">
        <v>109</v>
      </c>
      <c r="B67" s="176">
        <f>SUM(B63:B66)</f>
        <v>31</v>
      </c>
      <c r="C67" s="165">
        <f>SUM(C63:C66)</f>
        <v>1</v>
      </c>
      <c r="D67" s="24"/>
      <c r="E67" s="84" t="s">
        <v>122</v>
      </c>
      <c r="F67" s="85">
        <f>SUM(F63:F66)</f>
        <v>31</v>
      </c>
      <c r="G67" s="86">
        <f>SUM(G63:G66)</f>
        <v>1</v>
      </c>
      <c r="H67" s="6"/>
      <c r="K67" s="6"/>
      <c r="L67" s="6"/>
      <c r="M67" s="6"/>
      <c r="N67" s="6"/>
      <c r="O67" s="6"/>
      <c r="P67" s="6"/>
      <c r="Q67" s="6"/>
      <c r="R67" s="6"/>
      <c r="S67" s="6"/>
      <c r="T67" s="6"/>
      <c r="U67" s="6"/>
      <c r="V67" s="6"/>
      <c r="W67" s="6"/>
      <c r="X67" s="6"/>
      <c r="Y67" s="6"/>
      <c r="Z67" s="6"/>
    </row>
    <row r="68" spans="1:26" s="46" customFormat="1" ht="16.149999999999999" customHeight="1">
      <c r="D68" s="71"/>
      <c r="E68" s="75"/>
      <c r="F68" s="75"/>
      <c r="G68" s="108"/>
      <c r="H68" s="37"/>
      <c r="I68" s="37"/>
      <c r="J68" s="37"/>
      <c r="K68" s="37"/>
      <c r="L68" s="37"/>
      <c r="M68" s="37"/>
      <c r="N68" s="37"/>
      <c r="O68" s="37"/>
      <c r="P68" s="37"/>
      <c r="Q68" s="37"/>
      <c r="R68" s="37"/>
      <c r="S68" s="37"/>
      <c r="T68" s="37"/>
      <c r="U68" s="37"/>
      <c r="V68" s="37"/>
      <c r="W68" s="37"/>
      <c r="X68" s="37"/>
      <c r="Y68" s="37"/>
      <c r="Z68" s="37"/>
    </row>
    <row r="69" spans="1:26" s="46" customFormat="1" ht="15.75" customHeight="1">
      <c r="D69" s="71"/>
      <c r="J69" s="37"/>
      <c r="K69" s="37"/>
      <c r="L69" s="37"/>
      <c r="M69" s="37"/>
      <c r="N69" s="37"/>
      <c r="O69" s="37"/>
      <c r="P69" s="37"/>
      <c r="Q69" s="37"/>
      <c r="R69" s="37"/>
      <c r="S69" s="37"/>
      <c r="T69" s="37"/>
      <c r="U69" s="37"/>
      <c r="V69" s="37"/>
      <c r="W69" s="37"/>
      <c r="X69" s="37"/>
      <c r="Y69" s="37"/>
      <c r="Z69" s="37"/>
    </row>
    <row r="70" spans="1:26" s="46" customFormat="1" ht="15.75" customHeight="1">
      <c r="D70" s="71"/>
      <c r="H70" s="71"/>
      <c r="I70" s="71"/>
      <c r="J70" s="71"/>
      <c r="K70" s="37"/>
      <c r="L70" s="37"/>
      <c r="M70" s="37"/>
      <c r="N70" s="37"/>
      <c r="O70" s="37"/>
      <c r="P70" s="37"/>
      <c r="Q70" s="37"/>
      <c r="R70" s="37"/>
      <c r="S70" s="37"/>
      <c r="T70" s="37"/>
      <c r="U70" s="37"/>
      <c r="V70" s="37"/>
      <c r="W70" s="37"/>
      <c r="X70" s="37"/>
      <c r="Y70" s="37"/>
      <c r="Z70" s="37"/>
    </row>
    <row r="71" spans="1:26" s="46" customFormat="1" ht="15.75" customHeight="1">
      <c r="A71" s="72" t="s">
        <v>150</v>
      </c>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s="46" customFormat="1" ht="15.75" customHeight="1">
      <c r="A72" s="139" t="s">
        <v>151</v>
      </c>
      <c r="B72" s="140"/>
      <c r="C72" s="140"/>
      <c r="D72" s="140"/>
      <c r="E72" s="140"/>
      <c r="F72" s="140"/>
      <c r="G72" s="140"/>
      <c r="H72" s="140"/>
      <c r="I72" s="141"/>
      <c r="J72" s="37"/>
      <c r="K72" s="37"/>
      <c r="L72" s="37"/>
      <c r="M72" s="37"/>
      <c r="N72" s="37"/>
      <c r="O72" s="37"/>
      <c r="P72" s="37"/>
      <c r="Q72" s="37"/>
      <c r="R72" s="37"/>
      <c r="S72" s="37"/>
      <c r="T72" s="37"/>
      <c r="U72" s="37"/>
      <c r="V72" s="37"/>
      <c r="W72" s="37"/>
      <c r="X72" s="37"/>
      <c r="Y72" s="37"/>
      <c r="Z72" s="37"/>
    </row>
    <row r="73" spans="1:26" s="46" customFormat="1" ht="15.75" customHeight="1">
      <c r="A73" s="142"/>
      <c r="B73" s="143"/>
      <c r="C73" s="143"/>
      <c r="D73" s="143"/>
      <c r="E73" s="143"/>
      <c r="F73" s="143"/>
      <c r="G73" s="143"/>
      <c r="H73" s="143"/>
      <c r="I73" s="144"/>
      <c r="J73" s="37"/>
      <c r="K73" s="37"/>
      <c r="L73" s="37"/>
      <c r="M73" s="37"/>
      <c r="N73" s="37"/>
      <c r="O73" s="37"/>
      <c r="P73" s="37"/>
      <c r="Q73" s="37"/>
      <c r="R73" s="37"/>
      <c r="S73" s="37"/>
      <c r="T73" s="37"/>
      <c r="U73" s="37"/>
      <c r="V73" s="37"/>
      <c r="W73" s="37"/>
      <c r="X73" s="37"/>
      <c r="Y73" s="37"/>
      <c r="Z73" s="37"/>
    </row>
    <row r="74" spans="1:26" s="46" customFormat="1" ht="15.75" customHeight="1">
      <c r="A74" s="142"/>
      <c r="B74" s="143"/>
      <c r="C74" s="143"/>
      <c r="D74" s="143"/>
      <c r="E74" s="143"/>
      <c r="F74" s="143"/>
      <c r="G74" s="143"/>
      <c r="H74" s="143"/>
      <c r="I74" s="144"/>
      <c r="J74" s="37"/>
      <c r="K74" s="37"/>
      <c r="L74" s="37"/>
      <c r="M74" s="37"/>
      <c r="N74" s="37"/>
      <c r="O74" s="37"/>
      <c r="P74" s="37"/>
      <c r="Q74" s="37"/>
      <c r="R74" s="37"/>
      <c r="S74" s="37"/>
      <c r="T74" s="37"/>
      <c r="U74" s="37"/>
      <c r="V74" s="37"/>
      <c r="W74" s="37"/>
      <c r="X74" s="37"/>
      <c r="Y74" s="37"/>
      <c r="Z74" s="37"/>
    </row>
    <row r="75" spans="1:26" s="46" customFormat="1" ht="15.75" customHeight="1">
      <c r="A75" s="142"/>
      <c r="B75" s="143"/>
      <c r="C75" s="143"/>
      <c r="D75" s="143"/>
      <c r="E75" s="143"/>
      <c r="F75" s="143"/>
      <c r="G75" s="143"/>
      <c r="H75" s="143"/>
      <c r="I75" s="144"/>
      <c r="J75" s="37"/>
      <c r="K75" s="37"/>
      <c r="L75" s="37"/>
      <c r="M75" s="37"/>
      <c r="N75" s="37"/>
      <c r="O75" s="37"/>
      <c r="P75" s="37"/>
      <c r="Q75" s="37"/>
      <c r="R75" s="37"/>
      <c r="S75" s="37"/>
      <c r="T75" s="37"/>
      <c r="U75" s="37"/>
      <c r="V75" s="37"/>
      <c r="W75" s="37"/>
      <c r="X75" s="37"/>
      <c r="Y75" s="37"/>
      <c r="Z75" s="37"/>
    </row>
    <row r="76" spans="1:26" s="46" customFormat="1" ht="15.75" customHeight="1">
      <c r="A76" s="142"/>
      <c r="B76" s="143"/>
      <c r="C76" s="143"/>
      <c r="D76" s="143"/>
      <c r="E76" s="143"/>
      <c r="F76" s="143"/>
      <c r="G76" s="143"/>
      <c r="H76" s="143"/>
      <c r="I76" s="144"/>
      <c r="J76" s="37"/>
      <c r="K76" s="37"/>
      <c r="L76" s="37"/>
      <c r="M76" s="37"/>
      <c r="N76" s="37"/>
      <c r="O76" s="37"/>
      <c r="P76" s="37"/>
      <c r="Q76" s="37"/>
      <c r="R76" s="37"/>
      <c r="S76" s="37"/>
      <c r="T76" s="37"/>
      <c r="U76" s="37"/>
      <c r="V76" s="37"/>
      <c r="W76" s="37"/>
      <c r="X76" s="37"/>
      <c r="Y76" s="37"/>
      <c r="Z76" s="37"/>
    </row>
    <row r="77" spans="1:26" s="46" customFormat="1" ht="15.75" customHeight="1">
      <c r="A77" s="142"/>
      <c r="B77" s="143"/>
      <c r="C77" s="143"/>
      <c r="D77" s="143"/>
      <c r="E77" s="143"/>
      <c r="F77" s="143"/>
      <c r="G77" s="143"/>
      <c r="H77" s="143"/>
      <c r="I77" s="144"/>
      <c r="J77" s="37"/>
      <c r="K77" s="37"/>
      <c r="L77" s="37"/>
      <c r="M77" s="37"/>
      <c r="N77" s="37"/>
      <c r="O77" s="37"/>
      <c r="P77" s="37"/>
      <c r="Q77" s="37"/>
      <c r="R77" s="37"/>
      <c r="S77" s="37"/>
      <c r="T77" s="37"/>
      <c r="U77" s="37"/>
      <c r="V77" s="37"/>
      <c r="W77" s="37"/>
      <c r="X77" s="37"/>
      <c r="Y77" s="37"/>
      <c r="Z77" s="37"/>
    </row>
    <row r="78" spans="1:26" s="46" customFormat="1" ht="15.75" customHeight="1">
      <c r="A78" s="142"/>
      <c r="B78" s="143"/>
      <c r="C78" s="143"/>
      <c r="D78" s="143"/>
      <c r="E78" s="143"/>
      <c r="F78" s="143"/>
      <c r="G78" s="143"/>
      <c r="H78" s="143"/>
      <c r="I78" s="144"/>
      <c r="J78" s="37"/>
      <c r="K78" s="37"/>
      <c r="L78" s="37"/>
      <c r="M78" s="37"/>
      <c r="N78" s="37"/>
      <c r="O78" s="37"/>
      <c r="P78" s="37"/>
      <c r="Q78" s="37"/>
      <c r="R78" s="37"/>
      <c r="S78" s="37"/>
      <c r="T78" s="37"/>
      <c r="U78" s="37"/>
      <c r="V78" s="37"/>
      <c r="W78" s="37"/>
      <c r="X78" s="37"/>
      <c r="Y78" s="37"/>
      <c r="Z78" s="37"/>
    </row>
    <row r="79" spans="1:26" s="46" customFormat="1" ht="15.75" customHeight="1">
      <c r="A79" s="142"/>
      <c r="B79" s="143"/>
      <c r="C79" s="143"/>
      <c r="D79" s="143"/>
      <c r="E79" s="143"/>
      <c r="F79" s="143"/>
      <c r="G79" s="143"/>
      <c r="H79" s="143"/>
      <c r="I79" s="144"/>
      <c r="J79" s="37"/>
      <c r="K79" s="37"/>
      <c r="L79" s="37"/>
      <c r="M79" s="37"/>
      <c r="N79" s="37"/>
      <c r="O79" s="37"/>
      <c r="P79" s="37"/>
      <c r="Q79" s="37"/>
      <c r="R79" s="37"/>
      <c r="S79" s="37"/>
      <c r="T79" s="37"/>
      <c r="U79" s="37"/>
      <c r="V79" s="37"/>
      <c r="W79" s="37"/>
      <c r="X79" s="37"/>
      <c r="Y79" s="37"/>
      <c r="Z79" s="37"/>
    </row>
    <row r="80" spans="1:26" s="46" customFormat="1" ht="15.75" customHeight="1">
      <c r="A80" s="145"/>
      <c r="B80" s="146"/>
      <c r="C80" s="146"/>
      <c r="D80" s="146"/>
      <c r="E80" s="146"/>
      <c r="F80" s="146"/>
      <c r="G80" s="146"/>
      <c r="H80" s="146"/>
      <c r="I80" s="147"/>
      <c r="J80" s="37"/>
      <c r="K80" s="37"/>
      <c r="L80" s="37"/>
      <c r="M80" s="37"/>
      <c r="N80" s="37"/>
      <c r="O80" s="37"/>
      <c r="P80" s="37"/>
      <c r="Q80" s="37"/>
      <c r="R80" s="37"/>
      <c r="S80" s="37"/>
      <c r="T80" s="37"/>
      <c r="U80" s="37"/>
      <c r="V80" s="37"/>
      <c r="W80" s="37"/>
      <c r="X80" s="37"/>
      <c r="Y80" s="37"/>
      <c r="Z80" s="37"/>
    </row>
    <row r="81" spans="1:26" s="46" customFormat="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s="46" customFormat="1"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s="46" customFormat="1" ht="15.75" customHeight="1">
      <c r="A83" s="72" t="s">
        <v>152</v>
      </c>
      <c r="B83" s="37"/>
      <c r="C83" s="37"/>
      <c r="D83" s="37"/>
      <c r="E83" s="37"/>
      <c r="F83" s="72" t="s">
        <v>153</v>
      </c>
      <c r="G83" s="37"/>
      <c r="H83" s="37"/>
      <c r="I83" s="37"/>
      <c r="J83" s="37"/>
      <c r="K83" s="37"/>
      <c r="L83" s="37"/>
      <c r="M83" s="37"/>
      <c r="N83" s="37"/>
      <c r="O83" s="37"/>
      <c r="P83" s="37"/>
      <c r="Q83" s="37"/>
      <c r="R83" s="37"/>
      <c r="S83" s="37"/>
      <c r="T83" s="37"/>
      <c r="U83" s="37"/>
      <c r="V83" s="37"/>
      <c r="W83" s="37"/>
      <c r="X83" s="37"/>
      <c r="Y83" s="37"/>
      <c r="Z83" s="37"/>
    </row>
    <row r="84" spans="1:26" s="46" customFormat="1" ht="15.75" customHeight="1">
      <c r="A84" s="37"/>
      <c r="B84" s="37"/>
      <c r="C84" s="37"/>
      <c r="D84" s="37"/>
      <c r="E84" s="37"/>
      <c r="F84" s="73" t="s">
        <v>154</v>
      </c>
      <c r="G84" s="37"/>
      <c r="H84" s="37"/>
      <c r="I84" s="37"/>
      <c r="J84" s="37"/>
      <c r="K84" s="37"/>
      <c r="L84" s="37"/>
      <c r="M84" s="37"/>
      <c r="N84" s="37"/>
      <c r="O84" s="37"/>
      <c r="P84" s="37"/>
      <c r="Q84" s="37"/>
      <c r="R84" s="37"/>
      <c r="S84" s="37"/>
      <c r="T84" s="37"/>
      <c r="U84" s="37"/>
      <c r="V84" s="37"/>
      <c r="W84" s="37"/>
      <c r="X84" s="37"/>
      <c r="Y84" s="37"/>
      <c r="Z84" s="37"/>
    </row>
    <row r="85" spans="1:26" s="46" customFormat="1"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s="46" customFormat="1" ht="40.5" customHeight="1">
      <c r="A86" s="49"/>
      <c r="B86" s="48"/>
      <c r="C86" s="48"/>
      <c r="D86" s="50"/>
      <c r="E86" s="37"/>
      <c r="F86" s="74" t="s">
        <v>155</v>
      </c>
      <c r="G86" s="74" t="s">
        <v>156</v>
      </c>
      <c r="H86" s="74" t="s">
        <v>157</v>
      </c>
      <c r="I86" s="74" t="s">
        <v>158</v>
      </c>
      <c r="J86" s="37"/>
      <c r="K86" s="37"/>
      <c r="L86" s="37"/>
      <c r="M86" s="37"/>
      <c r="N86" s="37"/>
      <c r="O86" s="37"/>
      <c r="P86" s="37"/>
      <c r="Q86" s="37"/>
      <c r="R86" s="37"/>
      <c r="S86" s="37"/>
      <c r="T86" s="37"/>
      <c r="U86" s="37"/>
      <c r="V86" s="37"/>
      <c r="W86" s="37"/>
      <c r="X86" s="37"/>
      <c r="Y86" s="37"/>
      <c r="Z86" s="37"/>
    </row>
    <row r="87" spans="1:26" s="46" customFormat="1" ht="15.75" customHeight="1">
      <c r="A87" s="51"/>
      <c r="D87" s="52"/>
      <c r="E87" s="37"/>
      <c r="F87" s="36"/>
      <c r="G87" s="36"/>
      <c r="H87" s="36"/>
      <c r="I87" s="36"/>
      <c r="J87" s="37"/>
      <c r="K87" s="37"/>
      <c r="L87" s="37"/>
      <c r="M87" s="37"/>
      <c r="N87" s="37"/>
      <c r="O87" s="37"/>
      <c r="P87" s="37"/>
      <c r="Q87" s="37"/>
      <c r="R87" s="37"/>
      <c r="S87" s="37"/>
      <c r="T87" s="37"/>
      <c r="U87" s="37"/>
      <c r="V87" s="37"/>
      <c r="W87" s="37"/>
      <c r="X87" s="37"/>
      <c r="Y87" s="37"/>
      <c r="Z87" s="37"/>
    </row>
    <row r="88" spans="1:26" s="46" customFormat="1" ht="15.75" customHeight="1">
      <c r="A88" s="51"/>
      <c r="D88" s="52"/>
      <c r="E88" s="37"/>
      <c r="F88" s="36"/>
      <c r="G88" s="36"/>
      <c r="H88" s="36"/>
      <c r="I88" s="36"/>
      <c r="J88" s="37"/>
      <c r="K88" s="37"/>
      <c r="L88" s="37"/>
      <c r="M88" s="37"/>
      <c r="N88" s="37"/>
      <c r="O88" s="37"/>
      <c r="P88" s="37"/>
      <c r="Q88" s="37"/>
      <c r="R88" s="37"/>
      <c r="S88" s="37"/>
      <c r="T88" s="37"/>
      <c r="U88" s="37"/>
      <c r="V88" s="37"/>
      <c r="W88" s="37"/>
      <c r="X88" s="37"/>
      <c r="Y88" s="37"/>
      <c r="Z88" s="37"/>
    </row>
    <row r="89" spans="1:26" s="46" customFormat="1" ht="15.75" customHeight="1">
      <c r="A89" s="51"/>
      <c r="D89" s="52"/>
      <c r="E89" s="37"/>
      <c r="F89" s="36"/>
      <c r="G89" s="36"/>
      <c r="H89" s="36"/>
      <c r="I89" s="36"/>
      <c r="J89" s="37"/>
      <c r="K89" s="37"/>
      <c r="L89" s="37"/>
      <c r="M89" s="37"/>
      <c r="N89" s="37"/>
      <c r="O89" s="37"/>
      <c r="P89" s="37"/>
      <c r="Q89" s="37"/>
      <c r="R89" s="37"/>
      <c r="S89" s="37"/>
      <c r="T89" s="37"/>
      <c r="U89" s="37"/>
      <c r="V89" s="37"/>
      <c r="W89" s="37"/>
      <c r="X89" s="37"/>
      <c r="Y89" s="37"/>
      <c r="Z89" s="37"/>
    </row>
    <row r="90" spans="1:26" s="46" customFormat="1" ht="15.75" customHeight="1">
      <c r="A90" s="51"/>
      <c r="D90" s="52"/>
      <c r="E90" s="37"/>
      <c r="F90" s="36"/>
      <c r="G90" s="36"/>
      <c r="H90" s="36"/>
      <c r="I90" s="36"/>
      <c r="J90" s="37"/>
      <c r="K90" s="37"/>
      <c r="L90" s="37"/>
      <c r="M90" s="37"/>
      <c r="N90" s="37"/>
      <c r="O90" s="37"/>
      <c r="P90" s="37"/>
      <c r="Q90" s="37"/>
      <c r="R90" s="37"/>
      <c r="S90" s="37"/>
      <c r="T90" s="37"/>
      <c r="U90" s="37"/>
      <c r="V90" s="37"/>
      <c r="W90" s="37"/>
      <c r="X90" s="37"/>
      <c r="Y90" s="37"/>
      <c r="Z90" s="37"/>
    </row>
    <row r="91" spans="1:26" s="46" customFormat="1" ht="15.75" customHeight="1">
      <c r="A91" s="51"/>
      <c r="D91" s="52"/>
      <c r="E91" s="37"/>
      <c r="F91" s="36"/>
      <c r="G91" s="36"/>
      <c r="H91" s="36"/>
      <c r="I91" s="36"/>
      <c r="J91" s="37"/>
      <c r="K91" s="37"/>
      <c r="L91" s="37"/>
      <c r="M91" s="37"/>
      <c r="N91" s="37"/>
      <c r="O91" s="37"/>
      <c r="P91" s="37"/>
      <c r="Q91" s="37"/>
      <c r="R91" s="37"/>
      <c r="S91" s="37"/>
      <c r="T91" s="37"/>
      <c r="U91" s="37"/>
      <c r="V91" s="37"/>
      <c r="W91" s="37"/>
      <c r="X91" s="37"/>
      <c r="Y91" s="37"/>
      <c r="Z91" s="37"/>
    </row>
    <row r="92" spans="1:26" s="46" customFormat="1" ht="15.75" customHeight="1">
      <c r="A92" s="51"/>
      <c r="D92" s="52"/>
      <c r="E92" s="37"/>
      <c r="F92" s="36"/>
      <c r="G92" s="36"/>
      <c r="H92" s="36"/>
      <c r="I92" s="36"/>
      <c r="J92" s="37"/>
      <c r="K92" s="37"/>
      <c r="L92" s="37"/>
      <c r="M92" s="37"/>
      <c r="N92" s="37"/>
      <c r="O92" s="37"/>
      <c r="P92" s="37"/>
      <c r="Q92" s="37"/>
      <c r="R92" s="37"/>
      <c r="S92" s="37"/>
      <c r="T92" s="37"/>
      <c r="U92" s="37"/>
      <c r="V92" s="37"/>
      <c r="W92" s="37"/>
      <c r="X92" s="37"/>
      <c r="Y92" s="37"/>
      <c r="Z92" s="37"/>
    </row>
    <row r="93" spans="1:26" s="46" customFormat="1" ht="15.75" customHeight="1">
      <c r="A93" s="51"/>
      <c r="D93" s="52"/>
      <c r="E93" s="37"/>
      <c r="F93" s="36"/>
      <c r="G93" s="36"/>
      <c r="H93" s="36"/>
      <c r="I93" s="36"/>
      <c r="J93" s="37"/>
      <c r="K93" s="37"/>
      <c r="L93" s="37"/>
      <c r="M93" s="37"/>
      <c r="N93" s="37"/>
      <c r="O93" s="37"/>
      <c r="P93" s="37"/>
      <c r="Q93" s="37"/>
      <c r="R93" s="37"/>
      <c r="S93" s="37"/>
      <c r="T93" s="37"/>
      <c r="U93" s="37"/>
      <c r="V93" s="37"/>
      <c r="W93" s="37"/>
      <c r="X93" s="37"/>
      <c r="Y93" s="37"/>
      <c r="Z93" s="37"/>
    </row>
    <row r="94" spans="1:26" s="46" customFormat="1" ht="15.75" customHeight="1">
      <c r="A94" s="51"/>
      <c r="D94" s="52"/>
      <c r="E94" s="37"/>
      <c r="F94" s="36"/>
      <c r="G94" s="36"/>
      <c r="H94" s="36"/>
      <c r="I94" s="36"/>
      <c r="J94" s="37"/>
      <c r="K94" s="37"/>
      <c r="L94" s="37"/>
      <c r="M94" s="37"/>
      <c r="N94" s="37"/>
      <c r="O94" s="37"/>
      <c r="P94" s="37"/>
      <c r="Q94" s="37"/>
      <c r="R94" s="37"/>
      <c r="S94" s="37"/>
      <c r="T94" s="37"/>
      <c r="U94" s="37"/>
      <c r="V94" s="37"/>
      <c r="W94" s="37"/>
      <c r="X94" s="37"/>
      <c r="Y94" s="37"/>
      <c r="Z94" s="37"/>
    </row>
    <row r="95" spans="1:26" s="46" customFormat="1" ht="15.75" customHeight="1">
      <c r="A95" s="51"/>
      <c r="D95" s="52"/>
      <c r="E95" s="37"/>
      <c r="F95" s="36"/>
      <c r="G95" s="36"/>
      <c r="H95" s="36"/>
      <c r="I95" s="36"/>
      <c r="J95" s="37"/>
      <c r="K95" s="37"/>
      <c r="L95" s="37"/>
      <c r="M95" s="37"/>
      <c r="N95" s="37"/>
      <c r="O95" s="37"/>
      <c r="P95" s="37"/>
      <c r="Q95" s="37"/>
      <c r="R95" s="37"/>
      <c r="S95" s="37"/>
      <c r="T95" s="37"/>
      <c r="U95" s="37"/>
      <c r="V95" s="37"/>
      <c r="W95" s="37"/>
      <c r="X95" s="37"/>
      <c r="Y95" s="37"/>
      <c r="Z95" s="37"/>
    </row>
    <row r="96" spans="1:26" s="46" customFormat="1" ht="15.75" customHeight="1">
      <c r="A96" s="51"/>
      <c r="D96" s="52"/>
      <c r="E96" s="37"/>
      <c r="F96" s="36"/>
      <c r="G96" s="36"/>
      <c r="H96" s="36"/>
      <c r="I96" s="36"/>
      <c r="J96" s="37"/>
      <c r="K96" s="37"/>
      <c r="L96" s="37"/>
      <c r="M96" s="37"/>
      <c r="N96" s="37"/>
      <c r="O96" s="37"/>
      <c r="P96" s="37"/>
      <c r="Q96" s="37"/>
      <c r="R96" s="37"/>
      <c r="S96" s="37"/>
      <c r="T96" s="37"/>
      <c r="U96" s="37"/>
      <c r="V96" s="37"/>
      <c r="W96" s="37"/>
      <c r="X96" s="37"/>
      <c r="Y96" s="37"/>
      <c r="Z96" s="37"/>
    </row>
    <row r="97" spans="1:26" s="46" customFormat="1" ht="15.75" customHeight="1">
      <c r="A97" s="51"/>
      <c r="D97" s="52"/>
      <c r="E97" s="37"/>
      <c r="F97" s="36"/>
      <c r="G97" s="36"/>
      <c r="H97" s="36"/>
      <c r="I97" s="36"/>
      <c r="J97" s="37"/>
      <c r="K97" s="37"/>
      <c r="L97" s="37"/>
      <c r="M97" s="37"/>
      <c r="N97" s="37"/>
      <c r="O97" s="37"/>
      <c r="P97" s="37"/>
      <c r="Q97" s="37"/>
      <c r="R97" s="37"/>
      <c r="S97" s="37"/>
      <c r="T97" s="37"/>
      <c r="U97" s="37"/>
      <c r="V97" s="37"/>
      <c r="W97" s="37"/>
      <c r="X97" s="37"/>
      <c r="Y97" s="37"/>
      <c r="Z97" s="37"/>
    </row>
    <row r="98" spans="1:26" s="46" customFormat="1" ht="15.75" customHeight="1">
      <c r="A98" s="51"/>
      <c r="D98" s="52"/>
      <c r="E98" s="37"/>
      <c r="F98" s="36"/>
      <c r="G98" s="36"/>
      <c r="H98" s="36"/>
      <c r="I98" s="36"/>
      <c r="J98" s="37"/>
      <c r="K98" s="37"/>
      <c r="L98" s="37"/>
      <c r="M98" s="37"/>
      <c r="N98" s="37"/>
      <c r="O98" s="37"/>
      <c r="P98" s="37"/>
      <c r="Q98" s="37"/>
      <c r="R98" s="37"/>
      <c r="S98" s="37"/>
      <c r="T98" s="37"/>
      <c r="U98" s="37"/>
      <c r="V98" s="37"/>
      <c r="W98" s="37"/>
      <c r="X98" s="37"/>
      <c r="Y98" s="37"/>
      <c r="Z98" s="37"/>
    </row>
    <row r="99" spans="1:26" s="46" customFormat="1" ht="15.75" customHeight="1">
      <c r="A99" s="51"/>
      <c r="D99" s="52"/>
      <c r="E99" s="37"/>
      <c r="F99" s="36"/>
      <c r="G99" s="36"/>
      <c r="H99" s="36"/>
      <c r="I99" s="36"/>
      <c r="J99" s="37"/>
      <c r="K99" s="37"/>
      <c r="L99" s="37"/>
      <c r="M99" s="37"/>
      <c r="N99" s="37"/>
      <c r="O99" s="37"/>
      <c r="P99" s="37"/>
      <c r="Q99" s="37"/>
      <c r="R99" s="37"/>
      <c r="S99" s="37"/>
      <c r="T99" s="37"/>
      <c r="U99" s="37"/>
      <c r="V99" s="37"/>
      <c r="W99" s="37"/>
      <c r="X99" s="37"/>
      <c r="Y99" s="37"/>
      <c r="Z99" s="37"/>
    </row>
    <row r="100" spans="1:26" s="46" customFormat="1" ht="16.5" customHeight="1">
      <c r="A100" s="53"/>
      <c r="B100" s="76"/>
      <c r="C100" s="76"/>
      <c r="D100" s="54"/>
      <c r="E100" s="37"/>
      <c r="F100" s="36"/>
      <c r="G100" s="36"/>
      <c r="H100" s="36"/>
      <c r="I100" s="36"/>
      <c r="J100" s="37"/>
      <c r="K100" s="37"/>
      <c r="L100" s="37"/>
      <c r="M100" s="37"/>
      <c r="N100" s="37"/>
      <c r="O100" s="37"/>
      <c r="P100" s="37"/>
      <c r="Q100" s="37"/>
      <c r="R100" s="37"/>
      <c r="S100" s="37"/>
      <c r="T100" s="37"/>
      <c r="U100" s="37"/>
      <c r="V100" s="37"/>
      <c r="W100" s="37"/>
      <c r="X100" s="37"/>
      <c r="Y100" s="37"/>
      <c r="Z100" s="37"/>
    </row>
    <row r="101" spans="1:26" s="46" customFormat="1" ht="15.75" customHeight="1">
      <c r="A101" s="37"/>
      <c r="B101" s="37"/>
      <c r="C101" s="37"/>
      <c r="D101" s="37"/>
      <c r="E101" s="37"/>
      <c r="F101" s="37"/>
      <c r="G101" s="45"/>
      <c r="H101" s="45"/>
      <c r="I101" s="37"/>
      <c r="J101" s="37"/>
      <c r="K101" s="37"/>
      <c r="L101" s="37"/>
      <c r="M101" s="37"/>
      <c r="N101" s="37"/>
      <c r="O101" s="37"/>
      <c r="P101" s="37"/>
      <c r="Q101" s="37"/>
      <c r="R101" s="37"/>
      <c r="S101" s="37"/>
      <c r="T101" s="37"/>
      <c r="U101" s="37"/>
      <c r="V101" s="37"/>
      <c r="W101" s="37"/>
      <c r="X101" s="37"/>
      <c r="Y101" s="37"/>
      <c r="Z101" s="37"/>
    </row>
    <row r="102" spans="1:26" s="46" customFormat="1" ht="15.75" customHeight="1">
      <c r="A102" s="37"/>
      <c r="B102" s="37"/>
      <c r="C102" s="37"/>
      <c r="D102" s="37"/>
      <c r="E102" s="37"/>
      <c r="F102" s="37"/>
      <c r="G102" s="72"/>
      <c r="H102" s="72"/>
      <c r="I102" s="37"/>
      <c r="J102" s="37"/>
      <c r="K102" s="37"/>
      <c r="L102" s="37"/>
      <c r="M102" s="37"/>
      <c r="N102" s="37"/>
      <c r="O102" s="37"/>
      <c r="P102" s="37"/>
      <c r="Q102" s="37"/>
      <c r="R102" s="37"/>
      <c r="S102" s="37"/>
      <c r="T102" s="37"/>
      <c r="U102" s="37"/>
      <c r="V102" s="37"/>
      <c r="W102" s="37"/>
      <c r="X102" s="37"/>
      <c r="Y102" s="37"/>
      <c r="Z102" s="37"/>
    </row>
    <row r="103" spans="1:26" s="46" customFormat="1"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s="46" customFormat="1"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s="46" customFormat="1" ht="15.75" customHeight="1">
      <c r="A105" s="72" t="s">
        <v>159</v>
      </c>
      <c r="B105" s="47"/>
      <c r="C105" s="76"/>
      <c r="D105" s="76"/>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s="46" customFormat="1" ht="15.75" customHeight="1">
      <c r="A106" s="72"/>
      <c r="B106" s="135" t="s">
        <v>160</v>
      </c>
      <c r="C106" s="135"/>
      <c r="D106" s="135"/>
      <c r="E106" s="37"/>
      <c r="F106" s="37"/>
      <c r="G106" s="45"/>
      <c r="H106" s="45"/>
      <c r="I106" s="37"/>
      <c r="J106" s="37"/>
      <c r="K106" s="37"/>
      <c r="L106" s="37"/>
      <c r="M106" s="37"/>
      <c r="N106" s="37"/>
      <c r="O106" s="37"/>
      <c r="P106" s="37"/>
      <c r="Q106" s="37"/>
      <c r="R106" s="37"/>
      <c r="S106" s="37"/>
      <c r="T106" s="37"/>
      <c r="U106" s="37"/>
      <c r="V106" s="37"/>
      <c r="W106" s="37"/>
      <c r="X106" s="37"/>
      <c r="Y106" s="37"/>
      <c r="Z106" s="37"/>
    </row>
    <row r="107" spans="1:26" s="46" customFormat="1" ht="15.75" customHeight="1">
      <c r="A107" s="72"/>
      <c r="B107" s="37"/>
      <c r="C107" s="37"/>
      <c r="D107" s="37"/>
      <c r="E107" s="37"/>
      <c r="F107" s="37"/>
      <c r="G107" s="75"/>
      <c r="H107" s="75"/>
      <c r="I107" s="37"/>
      <c r="J107" s="37"/>
      <c r="K107" s="37"/>
      <c r="L107" s="37"/>
      <c r="M107" s="37"/>
      <c r="N107" s="37"/>
      <c r="O107" s="37"/>
      <c r="P107" s="37"/>
      <c r="Q107" s="37"/>
      <c r="R107" s="37"/>
      <c r="S107" s="37"/>
      <c r="T107" s="37"/>
      <c r="U107" s="37"/>
      <c r="V107" s="37"/>
      <c r="W107" s="37"/>
      <c r="X107" s="37"/>
      <c r="Y107" s="37"/>
      <c r="Z107" s="37"/>
    </row>
    <row r="108" spans="1:26" s="46" customFormat="1" ht="15.75" customHeight="1">
      <c r="A108" s="7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s="46" customFormat="1" ht="15.75" customHeight="1">
      <c r="A109" s="7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s="46" customFormat="1" ht="15.75" customHeight="1">
      <c r="A110" s="72" t="s">
        <v>161</v>
      </c>
      <c r="B110" s="47"/>
      <c r="C110" s="76"/>
      <c r="D110" s="76"/>
      <c r="E110" s="37"/>
      <c r="F110" s="37"/>
      <c r="G110" s="45"/>
      <c r="H110" s="45"/>
      <c r="I110" s="37"/>
      <c r="J110" s="37"/>
      <c r="K110" s="37"/>
      <c r="L110" s="37"/>
      <c r="M110" s="37"/>
      <c r="N110" s="37"/>
      <c r="O110" s="37"/>
      <c r="P110" s="37"/>
      <c r="Q110" s="37"/>
      <c r="R110" s="37"/>
      <c r="S110" s="37"/>
      <c r="T110" s="37"/>
      <c r="U110" s="37"/>
      <c r="V110" s="37"/>
      <c r="W110" s="37"/>
      <c r="X110" s="37"/>
      <c r="Y110" s="37"/>
      <c r="Z110" s="37"/>
    </row>
    <row r="111" spans="1:26" s="46" customFormat="1" ht="15.75" customHeight="1">
      <c r="A111" s="72"/>
      <c r="B111" s="135" t="s">
        <v>162</v>
      </c>
      <c r="C111" s="135"/>
      <c r="D111" s="135"/>
      <c r="E111" s="37"/>
      <c r="F111" s="37"/>
      <c r="G111" s="75"/>
      <c r="H111" s="45"/>
      <c r="I111" s="37"/>
      <c r="J111" s="37"/>
      <c r="K111" s="37"/>
      <c r="L111" s="37"/>
      <c r="M111" s="37"/>
      <c r="N111" s="37"/>
      <c r="O111" s="37"/>
      <c r="P111" s="37"/>
      <c r="Q111" s="37"/>
      <c r="R111" s="37"/>
      <c r="S111" s="37"/>
      <c r="T111" s="37"/>
      <c r="U111" s="37"/>
      <c r="V111" s="37"/>
      <c r="W111" s="37"/>
      <c r="X111" s="37"/>
      <c r="Y111" s="37"/>
      <c r="Z111" s="37"/>
    </row>
    <row r="112" spans="1:26" s="46" customFormat="1" ht="15.75" customHeight="1">
      <c r="A112" s="72"/>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s="46" customFormat="1" ht="15.75" customHeight="1">
      <c r="A113" s="7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s="46" customFormat="1" ht="15.75" customHeight="1">
      <c r="A114" s="7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s="46" customFormat="1" ht="15.75" customHeight="1">
      <c r="A115" s="72" t="s">
        <v>163</v>
      </c>
      <c r="B115" s="47"/>
      <c r="C115" s="76"/>
      <c r="D115" s="76"/>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s="46" customFormat="1" ht="15.75" customHeight="1">
      <c r="A116" s="37"/>
      <c r="B116" s="135" t="s">
        <v>164</v>
      </c>
      <c r="C116" s="135"/>
      <c r="D116" s="135"/>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s="46" customFormat="1"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s="46" customFormat="1"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s="46" customFormat="1"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s="46" customFormat="1"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s="46" customFormat="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s="46" customFormat="1"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s="46" customFormat="1"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s="46" customFormat="1"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s="46" customFormat="1"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s="46" customFormat="1"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s="46" customFormat="1"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s="46" customFormat="1"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s="46" customFormat="1"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s="46" customFormat="1"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s="46" customFormat="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s="46" customFormat="1"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s="46" customFormat="1"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s="46" customFormat="1"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s="46" customFormat="1"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s="46" customFormat="1"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s="46" customFormat="1"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s="46" customFormat="1"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s="46" customFormat="1"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s="46" customFormat="1"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s="46" customFormat="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s="46" customFormat="1"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s="46" customFormat="1"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s="46" customFormat="1"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s="46" customFormat="1"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s="46" customFormat="1"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s="46" customFormat="1"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s="46" customFormat="1"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s="46" customFormat="1"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s="46" customFormat="1"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s="46" customFormat="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s="46" customFormat="1"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s="46" customFormat="1"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s="46" customFormat="1"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s="46" customFormat="1"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s="46" customFormat="1"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s="46" customFormat="1"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s="46" customFormat="1"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s="46" customFormat="1"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s="46" customFormat="1"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s="46" customFormat="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s="46" customFormat="1"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s="46" customFormat="1"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s="46" customFormat="1"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s="46" customFormat="1"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s="46" customFormat="1"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s="46" customFormat="1"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s="46" customFormat="1"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s="46" customFormat="1"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s="46" customFormat="1"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s="46" customFormat="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s="46" customFormat="1"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s="46" customFormat="1"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s="46" customFormat="1"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s="46" customFormat="1"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s="46" customFormat="1"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s="46" customFormat="1"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s="46" customFormat="1"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s="46" customFormat="1"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s="46" customFormat="1"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s="46" customFormat="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s="46" customFormat="1"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s="46" customFormat="1"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s="46" customFormat="1"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s="46" customFormat="1"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s="46" customFormat="1"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s="46" customFormat="1"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s="46" customFormat="1"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s="46" customFormat="1"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s="46" customFormat="1"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s="46" customFormat="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s="46" customFormat="1"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s="46" customFormat="1"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s="46" customFormat="1"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s="46" customFormat="1"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s="46" customFormat="1"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s="46" customFormat="1"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s="46" customFormat="1"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s="46" customFormat="1"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s="46" customFormat="1"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s="46" customFormat="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s="46" customFormat="1"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s="46" customFormat="1"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s="46" customFormat="1"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s="46" customFormat="1"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s="46" customFormat="1"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s="46" customFormat="1"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s="46" customFormat="1"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s="46" customFormat="1"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s="46" customFormat="1"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s="46" customFormat="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s="46" customFormat="1"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s="46" customFormat="1"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s="46" customFormat="1"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s="46" customFormat="1"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s="46" customFormat="1"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s="46" customFormat="1"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s="46" customFormat="1"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s="46" customFormat="1"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s="46" customFormat="1"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s="46" customFormat="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s="46" customFormat="1"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s="46" customFormat="1"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s="46" customFormat="1"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s="46" customFormat="1"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s="46" customFormat="1"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s="46" customFormat="1"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s="46" customFormat="1"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s="46" customFormat="1"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s="46" customFormat="1"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s="46" customFormat="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5.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5.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5.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5.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5.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5.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5.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5.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5.75"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5.75" customHeight="1">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sheetData>
  <sheetProtection formatCells="0" formatColumns="0" formatRows="0" insertColumns="0" insertRows="0" deleteColumns="0" deleteRows="0"/>
  <mergeCells count="10">
    <mergeCell ref="B106:D106"/>
    <mergeCell ref="B111:D111"/>
    <mergeCell ref="B116:D116"/>
    <mergeCell ref="A6:J6"/>
    <mergeCell ref="A7:J7"/>
    <mergeCell ref="A8:J8"/>
    <mergeCell ref="B10:D10"/>
    <mergeCell ref="A72:I80"/>
    <mergeCell ref="B11:D11"/>
    <mergeCell ref="I52:J52"/>
  </mergeCells>
  <dataValidations disablePrompts="1" count="1">
    <dataValidation type="custom" allowBlank="1" showDropDown="1" sqref="B53:C59 B44:C48 B63:C67" xr:uid="{00000000-0002-0000-0200-000000000000}">
      <formula1>AND(ISNUMBER(B44),(NOT(OR(NOT(ISERROR(DATEVALUE(B44))), AND(ISNUMBER(B44), LEFT(CELL("format", B44))="D")))))</formula1>
    </dataValidation>
  </dataValidations>
  <printOptions horizontalCentered="1"/>
  <pageMargins left="0.23622047244094491" right="0.23622047244094491" top="0.39370078740157483" bottom="0.39370078740157483" header="0" footer="0"/>
  <pageSetup paperSize="9" scale="39" orientation="portrait" r:id="rId1"/>
  <drawing r:id="rId2"/>
  <legacyDrawing r:id="rId3"/>
  <tableParts count="3">
    <tablePart r:id="rId4"/>
    <tablePart r:id="rId5"/>
    <tablePart r:id="rId6"/>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060D139-C95E-4EF0-A714-47D7C220C4A3}">
          <x14:formula1>
            <xm:f>DropList!$B$2:$B$7</xm:f>
          </x14:formula1>
          <xm:sqref>B10:D10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5BB0-F915-412E-BA2D-3DD3DB6F56F0}">
  <sheetPr>
    <pageSetUpPr fitToPage="1"/>
  </sheetPr>
  <dimension ref="B3:B37"/>
  <sheetViews>
    <sheetView showGridLines="0" topLeftCell="A4" zoomScale="85" zoomScaleNormal="85" zoomScaleSheetLayoutView="70" workbookViewId="0">
      <selection activeCell="K35" sqref="K35"/>
    </sheetView>
  </sheetViews>
  <sheetFormatPr defaultRowHeight="15.6"/>
  <cols>
    <col min="1" max="1" width="4.125" customWidth="1"/>
    <col min="14" max="14" width="4.125" customWidth="1"/>
    <col min="15" max="15" width="5.25" customWidth="1"/>
    <col min="20" max="20" width="10.125" customWidth="1"/>
    <col min="21" max="21" width="2.375" customWidth="1"/>
  </cols>
  <sheetData>
    <row r="3" spans="2:2">
      <c r="B3" s="30" t="s">
        <v>165</v>
      </c>
    </row>
    <row r="37" spans="2:2">
      <c r="B37" s="30" t="s">
        <v>166</v>
      </c>
    </row>
  </sheetData>
  <sheetProtection formatCells="0" formatColumns="0" formatRows="0" insertColumns="0" insertRows="0" deleteColumns="0" deleteRows="0" sort="0"/>
  <pageMargins left="0.70866141732283472" right="0.70866141732283472" top="0.39370078740157483" bottom="0.39370078740157483" header="0.31496062992125984" footer="0.31496062992125984"/>
  <pageSetup paperSize="9" scale="74" fitToHeight="0" orientation="portrait" r:id="rId1"/>
  <rowBreaks count="2" manualBreakCount="2">
    <brk id="55" max="12" man="1"/>
    <brk id="111" max="13" man="1"/>
  </rowBreaks>
  <colBreaks count="2" manualBreakCount="2">
    <brk id="13" min="2" max="108" man="1"/>
    <brk id="14" min="2" max="92"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746A42879D3440A6E46657556E1CED" ma:contentTypeVersion="14" ma:contentTypeDescription="Create a new document." ma:contentTypeScope="" ma:versionID="dc559147beb1840825f674d0113d2a24">
  <xsd:schema xmlns:xsd="http://www.w3.org/2001/XMLSchema" xmlns:xs="http://www.w3.org/2001/XMLSchema" xmlns:p="http://schemas.microsoft.com/office/2006/metadata/properties" xmlns:ns2="bd93ad54-4974-4828-a527-cd17d078195f" xmlns:ns3="2f74224c-65ea-495e-8d51-9349cddd824e" targetNamespace="http://schemas.microsoft.com/office/2006/metadata/properties" ma:root="true" ma:fieldsID="0ab9d52561175178edd90d128fda288e" ns2:_="" ns3:_="">
    <xsd:import namespace="bd93ad54-4974-4828-a527-cd17d078195f"/>
    <xsd:import namespace="2f74224c-65ea-495e-8d51-9349cddd82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93ad54-4974-4828-a527-cd17d0781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74224c-65ea-495e-8d51-9349cddd824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C77FF3-782D-4138-8E66-DD9B9B3636C1}"/>
</file>

<file path=customXml/itemProps2.xml><?xml version="1.0" encoding="utf-8"?>
<ds:datastoreItem xmlns:ds="http://schemas.openxmlformats.org/officeDocument/2006/customXml" ds:itemID="{AD66B7B9-1DF9-4961-BE53-E0E24A89F6DB}"/>
</file>

<file path=customXml/itemProps3.xml><?xml version="1.0" encoding="utf-8"?>
<ds:datastoreItem xmlns:ds="http://schemas.openxmlformats.org/officeDocument/2006/customXml" ds:itemID="{0D75FADA-C0BC-495D-B464-B748C72AEB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
  <cp:revision/>
  <dcterms:created xsi:type="dcterms:W3CDTF">2024-11-21T13:59:21Z</dcterms:created>
  <dcterms:modified xsi:type="dcterms:W3CDTF">2026-05-12T06:23:27Z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0x010100B1746A42879D3440A6E46657556E1CED</vt:lpwstr>
  </property>
</Properties>
</file>